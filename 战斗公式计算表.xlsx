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i15\Desktop\战斗系统\"/>
    </mc:Choice>
  </mc:AlternateContent>
  <xr:revisionPtr revIDLastSave="0" documentId="13_ncr:1_{191B169D-1E3B-451E-99B9-F04A2C628DB6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说明" sheetId="1" r:id="rId1"/>
    <sheet name="物理伤害" sheetId="2" r:id="rId2"/>
    <sheet name="谋略伤害" sheetId="3" r:id="rId3"/>
    <sheet name="兵力恢复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6" i="4" l="1"/>
  <c r="D66" i="4" s="1"/>
  <c r="B65" i="4"/>
  <c r="D65" i="4" s="1"/>
  <c r="B64" i="4"/>
  <c r="D64" i="4" s="1"/>
  <c r="B63" i="4"/>
  <c r="D63" i="4" s="1"/>
  <c r="B62" i="4"/>
  <c r="D62" i="4" s="1"/>
  <c r="F48" i="4"/>
  <c r="G48" i="4" s="1"/>
  <c r="J48" i="4" s="1"/>
  <c r="M48" i="4" s="1"/>
  <c r="D48" i="4"/>
  <c r="E48" i="4" s="1"/>
  <c r="I48" i="4" s="1"/>
  <c r="L48" i="4" s="1"/>
  <c r="B48" i="4"/>
  <c r="C48" i="4" s="1"/>
  <c r="H48" i="4" s="1"/>
  <c r="K48" i="4" s="1"/>
  <c r="G47" i="4"/>
  <c r="J47" i="4" s="1"/>
  <c r="M47" i="4" s="1"/>
  <c r="F47" i="4"/>
  <c r="D47" i="4"/>
  <c r="E47" i="4" s="1"/>
  <c r="I47" i="4" s="1"/>
  <c r="L47" i="4" s="1"/>
  <c r="B47" i="4"/>
  <c r="C47" i="4" s="1"/>
  <c r="H47" i="4" s="1"/>
  <c r="K47" i="4" s="1"/>
  <c r="F46" i="4"/>
  <c r="G46" i="4" s="1"/>
  <c r="J46" i="4" s="1"/>
  <c r="M46" i="4" s="1"/>
  <c r="D46" i="4"/>
  <c r="E46" i="4" s="1"/>
  <c r="I46" i="4" s="1"/>
  <c r="L46" i="4" s="1"/>
  <c r="B46" i="4"/>
  <c r="C46" i="4" s="1"/>
  <c r="H46" i="4" s="1"/>
  <c r="K46" i="4" s="1"/>
  <c r="G45" i="4"/>
  <c r="J45" i="4" s="1"/>
  <c r="M45" i="4" s="1"/>
  <c r="F45" i="4"/>
  <c r="D45" i="4"/>
  <c r="E45" i="4" s="1"/>
  <c r="I45" i="4" s="1"/>
  <c r="L45" i="4" s="1"/>
  <c r="C45" i="4"/>
  <c r="H45" i="4" s="1"/>
  <c r="K45" i="4" s="1"/>
  <c r="B45" i="4"/>
  <c r="F44" i="4"/>
  <c r="G44" i="4" s="1"/>
  <c r="J44" i="4" s="1"/>
  <c r="M44" i="4" s="1"/>
  <c r="E44" i="4"/>
  <c r="I44" i="4" s="1"/>
  <c r="L44" i="4" s="1"/>
  <c r="D44" i="4"/>
  <c r="B44" i="4"/>
  <c r="C44" i="4" s="1"/>
  <c r="H44" i="4" s="1"/>
  <c r="K44" i="4" s="1"/>
  <c r="F43" i="4"/>
  <c r="G43" i="4" s="1"/>
  <c r="J43" i="4" s="1"/>
  <c r="M43" i="4" s="1"/>
  <c r="D43" i="4"/>
  <c r="E43" i="4" s="1"/>
  <c r="I43" i="4" s="1"/>
  <c r="L43" i="4" s="1"/>
  <c r="B43" i="4"/>
  <c r="C43" i="4" s="1"/>
  <c r="H43" i="4" s="1"/>
  <c r="K43" i="4" s="1"/>
  <c r="G42" i="4"/>
  <c r="J42" i="4" s="1"/>
  <c r="M42" i="4" s="1"/>
  <c r="F42" i="4"/>
  <c r="D42" i="4"/>
  <c r="E42" i="4" s="1"/>
  <c r="I42" i="4" s="1"/>
  <c r="L42" i="4" s="1"/>
  <c r="B42" i="4"/>
  <c r="C42" i="4" s="1"/>
  <c r="H42" i="4" s="1"/>
  <c r="K42" i="4" s="1"/>
  <c r="F41" i="4"/>
  <c r="G41" i="4" s="1"/>
  <c r="J41" i="4" s="1"/>
  <c r="M41" i="4" s="1"/>
  <c r="D41" i="4"/>
  <c r="E41" i="4" s="1"/>
  <c r="I41" i="4" s="1"/>
  <c r="L41" i="4" s="1"/>
  <c r="C41" i="4"/>
  <c r="H41" i="4" s="1"/>
  <c r="K41" i="4" s="1"/>
  <c r="B41" i="4"/>
  <c r="G40" i="4"/>
  <c r="J40" i="4" s="1"/>
  <c r="M40" i="4" s="1"/>
  <c r="F40" i="4"/>
  <c r="D40" i="4"/>
  <c r="E40" i="4" s="1"/>
  <c r="I40" i="4" s="1"/>
  <c r="L40" i="4" s="1"/>
  <c r="B40" i="4"/>
  <c r="C40" i="4" s="1"/>
  <c r="H40" i="4" s="1"/>
  <c r="K40" i="4" s="1"/>
  <c r="G39" i="4"/>
  <c r="J39" i="4" s="1"/>
  <c r="M39" i="4" s="1"/>
  <c r="F39" i="4"/>
  <c r="D39" i="4"/>
  <c r="E39" i="4" s="1"/>
  <c r="I39" i="4" s="1"/>
  <c r="L39" i="4" s="1"/>
  <c r="B39" i="4"/>
  <c r="C39" i="4" s="1"/>
  <c r="H39" i="4" s="1"/>
  <c r="K39" i="4" s="1"/>
  <c r="G38" i="4"/>
  <c r="J38" i="4" s="1"/>
  <c r="M38" i="4" s="1"/>
  <c r="F38" i="4"/>
  <c r="D38" i="4"/>
  <c r="E38" i="4" s="1"/>
  <c r="B38" i="4"/>
  <c r="C38" i="4" s="1"/>
  <c r="I37" i="4"/>
  <c r="L37" i="4" s="1"/>
  <c r="F37" i="4"/>
  <c r="G37" i="4" s="1"/>
  <c r="J37" i="4" s="1"/>
  <c r="M37" i="4" s="1"/>
  <c r="D37" i="4"/>
  <c r="E37" i="4" s="1"/>
  <c r="B37" i="4"/>
  <c r="C37" i="4" s="1"/>
  <c r="H37" i="4" s="1"/>
  <c r="K37" i="4" s="1"/>
  <c r="G36" i="4"/>
  <c r="J36" i="4" s="1"/>
  <c r="M36" i="4" s="1"/>
  <c r="F36" i="4"/>
  <c r="D36" i="4"/>
  <c r="E36" i="4" s="1"/>
  <c r="I36" i="4" s="1"/>
  <c r="L36" i="4" s="1"/>
  <c r="C36" i="4"/>
  <c r="H36" i="4" s="1"/>
  <c r="K36" i="4" s="1"/>
  <c r="B36" i="4"/>
  <c r="F35" i="4"/>
  <c r="G35" i="4" s="1"/>
  <c r="J35" i="4" s="1"/>
  <c r="M35" i="4" s="1"/>
  <c r="D35" i="4"/>
  <c r="E35" i="4" s="1"/>
  <c r="I35" i="4" s="1"/>
  <c r="L35" i="4" s="1"/>
  <c r="B35" i="4"/>
  <c r="C35" i="4" s="1"/>
  <c r="H35" i="4" s="1"/>
  <c r="K35" i="4" s="1"/>
  <c r="F34" i="4"/>
  <c r="G34" i="4" s="1"/>
  <c r="J34" i="4" s="1"/>
  <c r="M34" i="4" s="1"/>
  <c r="D34" i="4"/>
  <c r="E34" i="4" s="1"/>
  <c r="I34" i="4" s="1"/>
  <c r="L34" i="4" s="1"/>
  <c r="C34" i="4"/>
  <c r="H34" i="4" s="1"/>
  <c r="K34" i="4" s="1"/>
  <c r="B34" i="4"/>
  <c r="I33" i="4"/>
  <c r="L33" i="4" s="1"/>
  <c r="F33" i="4"/>
  <c r="G33" i="4" s="1"/>
  <c r="J33" i="4" s="1"/>
  <c r="M33" i="4" s="1"/>
  <c r="D33" i="4"/>
  <c r="E33" i="4" s="1"/>
  <c r="B33" i="4"/>
  <c r="C33" i="4" s="1"/>
  <c r="H33" i="4" s="1"/>
  <c r="K33" i="4" s="1"/>
  <c r="G32" i="4"/>
  <c r="J32" i="4" s="1"/>
  <c r="M32" i="4" s="1"/>
  <c r="F32" i="4"/>
  <c r="D32" i="4"/>
  <c r="E32" i="4" s="1"/>
  <c r="I32" i="4" s="1"/>
  <c r="L32" i="4" s="1"/>
  <c r="B32" i="4"/>
  <c r="C32" i="4" s="1"/>
  <c r="H32" i="4" s="1"/>
  <c r="K32" i="4" s="1"/>
  <c r="F31" i="4"/>
  <c r="G31" i="4" s="1"/>
  <c r="J31" i="4" s="1"/>
  <c r="M31" i="4" s="1"/>
  <c r="D31" i="4"/>
  <c r="E31" i="4" s="1"/>
  <c r="I31" i="4" s="1"/>
  <c r="L31" i="4" s="1"/>
  <c r="C31" i="4"/>
  <c r="H31" i="4" s="1"/>
  <c r="K31" i="4" s="1"/>
  <c r="B31" i="4"/>
  <c r="F30" i="4"/>
  <c r="G30" i="4" s="1"/>
  <c r="J30" i="4" s="1"/>
  <c r="M30" i="4" s="1"/>
  <c r="D30" i="4"/>
  <c r="E30" i="4" s="1"/>
  <c r="I30" i="4" s="1"/>
  <c r="L30" i="4" s="1"/>
  <c r="B30" i="4"/>
  <c r="C30" i="4" s="1"/>
  <c r="H30" i="4" s="1"/>
  <c r="K30" i="4" s="1"/>
  <c r="F29" i="4"/>
  <c r="G29" i="4" s="1"/>
  <c r="J29" i="4" s="1"/>
  <c r="M29" i="4" s="1"/>
  <c r="D29" i="4"/>
  <c r="E29" i="4" s="1"/>
  <c r="I29" i="4" s="1"/>
  <c r="L29" i="4" s="1"/>
  <c r="C29" i="4"/>
  <c r="H29" i="4" s="1"/>
  <c r="K29" i="4" s="1"/>
  <c r="B29" i="4"/>
  <c r="G28" i="4"/>
  <c r="J28" i="4" s="1"/>
  <c r="M28" i="4" s="1"/>
  <c r="F28" i="4"/>
  <c r="D28" i="4"/>
  <c r="E28" i="4" s="1"/>
  <c r="I28" i="4" s="1"/>
  <c r="L28" i="4" s="1"/>
  <c r="B28" i="4"/>
  <c r="C28" i="4" s="1"/>
  <c r="H28" i="4" s="1"/>
  <c r="K28" i="4" s="1"/>
  <c r="G27" i="4"/>
  <c r="J27" i="4" s="1"/>
  <c r="M27" i="4" s="1"/>
  <c r="F27" i="4"/>
  <c r="D27" i="4"/>
  <c r="E27" i="4" s="1"/>
  <c r="I27" i="4" s="1"/>
  <c r="L27" i="4" s="1"/>
  <c r="B27" i="4"/>
  <c r="C27" i="4" s="1"/>
  <c r="H27" i="4" s="1"/>
  <c r="K27" i="4" s="1"/>
  <c r="F26" i="4"/>
  <c r="G26" i="4" s="1"/>
  <c r="D26" i="4"/>
  <c r="E26" i="4" s="1"/>
  <c r="B26" i="4"/>
  <c r="C26" i="4" s="1"/>
  <c r="G25" i="4"/>
  <c r="J25" i="4" s="1"/>
  <c r="M25" i="4" s="1"/>
  <c r="F25" i="4"/>
  <c r="D25" i="4"/>
  <c r="E25" i="4" s="1"/>
  <c r="I25" i="4" s="1"/>
  <c r="L25" i="4" s="1"/>
  <c r="B25" i="4"/>
  <c r="C25" i="4" s="1"/>
  <c r="H25" i="4" s="1"/>
  <c r="K25" i="4" s="1"/>
  <c r="F24" i="4"/>
  <c r="G24" i="4" s="1"/>
  <c r="J24" i="4" s="1"/>
  <c r="M24" i="4" s="1"/>
  <c r="D24" i="4"/>
  <c r="E24" i="4" s="1"/>
  <c r="I24" i="4" s="1"/>
  <c r="L24" i="4" s="1"/>
  <c r="C24" i="4"/>
  <c r="H24" i="4" s="1"/>
  <c r="K24" i="4" s="1"/>
  <c r="B24" i="4"/>
  <c r="G23" i="4"/>
  <c r="J23" i="4" s="1"/>
  <c r="M23" i="4" s="1"/>
  <c r="F23" i="4"/>
  <c r="D23" i="4"/>
  <c r="E23" i="4" s="1"/>
  <c r="I23" i="4" s="1"/>
  <c r="L23" i="4" s="1"/>
  <c r="B23" i="4"/>
  <c r="C23" i="4" s="1"/>
  <c r="H23" i="4" s="1"/>
  <c r="K23" i="4" s="1"/>
  <c r="F22" i="4"/>
  <c r="G22" i="4" s="1"/>
  <c r="J22" i="4" s="1"/>
  <c r="M22" i="4" s="1"/>
  <c r="D22" i="4"/>
  <c r="E22" i="4" s="1"/>
  <c r="I22" i="4" s="1"/>
  <c r="L22" i="4" s="1"/>
  <c r="C22" i="4"/>
  <c r="H22" i="4" s="1"/>
  <c r="K22" i="4" s="1"/>
  <c r="B22" i="4"/>
  <c r="F21" i="4"/>
  <c r="G21" i="4" s="1"/>
  <c r="J21" i="4" s="1"/>
  <c r="M21" i="4" s="1"/>
  <c r="D21" i="4"/>
  <c r="E21" i="4" s="1"/>
  <c r="I21" i="4" s="1"/>
  <c r="L21" i="4" s="1"/>
  <c r="C21" i="4"/>
  <c r="H21" i="4" s="1"/>
  <c r="K21" i="4" s="1"/>
  <c r="B21" i="4"/>
  <c r="H20" i="4"/>
  <c r="K20" i="4" s="1"/>
  <c r="F20" i="4"/>
  <c r="G20" i="4" s="1"/>
  <c r="J20" i="4" s="1"/>
  <c r="M20" i="4" s="1"/>
  <c r="D20" i="4"/>
  <c r="E20" i="4" s="1"/>
  <c r="I20" i="4" s="1"/>
  <c r="L20" i="4" s="1"/>
  <c r="C20" i="4"/>
  <c r="B20" i="4"/>
  <c r="F19" i="4"/>
  <c r="G19" i="4" s="1"/>
  <c r="J19" i="4" s="1"/>
  <c r="M19" i="4" s="1"/>
  <c r="D19" i="4"/>
  <c r="E19" i="4" s="1"/>
  <c r="I19" i="4" s="1"/>
  <c r="L19" i="4" s="1"/>
  <c r="C19" i="4"/>
  <c r="H19" i="4" s="1"/>
  <c r="K19" i="4" s="1"/>
  <c r="B19" i="4"/>
  <c r="F18" i="4"/>
  <c r="G18" i="4" s="1"/>
  <c r="J18" i="4" s="1"/>
  <c r="M18" i="4" s="1"/>
  <c r="D18" i="4"/>
  <c r="E18" i="4" s="1"/>
  <c r="I18" i="4" s="1"/>
  <c r="L18" i="4" s="1"/>
  <c r="B18" i="4"/>
  <c r="C18" i="4" s="1"/>
  <c r="H18" i="4" s="1"/>
  <c r="K18" i="4" s="1"/>
  <c r="B152" i="3"/>
  <c r="B151" i="3"/>
  <c r="B150" i="3"/>
  <c r="B149" i="3"/>
  <c r="B148" i="3"/>
  <c r="B147" i="3"/>
  <c r="B146" i="3"/>
  <c r="B145" i="3"/>
  <c r="B144" i="3"/>
  <c r="B143" i="3"/>
  <c r="C142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C61" i="3"/>
  <c r="D61" i="3" s="1"/>
  <c r="B61" i="3"/>
  <c r="B60" i="3"/>
  <c r="B59" i="3"/>
  <c r="B58" i="3"/>
  <c r="B57" i="3"/>
  <c r="B56" i="3"/>
  <c r="B55" i="3"/>
  <c r="B54" i="3"/>
  <c r="B53" i="3"/>
  <c r="B52" i="3"/>
  <c r="B47" i="3"/>
  <c r="C47" i="3" s="1"/>
  <c r="B46" i="3"/>
  <c r="C46" i="3" s="1"/>
  <c r="C45" i="3"/>
  <c r="B45" i="3"/>
  <c r="B44" i="3"/>
  <c r="C44" i="3" s="1"/>
  <c r="B43" i="3"/>
  <c r="C43" i="3" s="1"/>
  <c r="C42" i="3"/>
  <c r="B42" i="3"/>
  <c r="B41" i="3"/>
  <c r="C41" i="3" s="1"/>
  <c r="C40" i="3"/>
  <c r="B40" i="3"/>
  <c r="B39" i="3"/>
  <c r="C39" i="3" s="1"/>
  <c r="B38" i="3"/>
  <c r="C38" i="3" s="1"/>
  <c r="C37" i="3"/>
  <c r="B37" i="3"/>
  <c r="B36" i="3"/>
  <c r="C36" i="3" s="1"/>
  <c r="B35" i="3"/>
  <c r="C35" i="3" s="1"/>
  <c r="B34" i="3"/>
  <c r="C34" i="3" s="1"/>
  <c r="B33" i="3"/>
  <c r="C33" i="3" s="1"/>
  <c r="B32" i="3"/>
  <c r="C32" i="3" s="1"/>
  <c r="B31" i="3"/>
  <c r="C31" i="3" s="1"/>
  <c r="B30" i="3"/>
  <c r="C30" i="3" s="1"/>
  <c r="B29" i="3"/>
  <c r="C29" i="3" s="1"/>
  <c r="B28" i="3"/>
  <c r="C28" i="3" s="1"/>
  <c r="B27" i="3"/>
  <c r="C27" i="3" s="1"/>
  <c r="B26" i="3"/>
  <c r="C26" i="3" s="1"/>
  <c r="B25" i="3"/>
  <c r="C25" i="3" s="1"/>
  <c r="B24" i="3"/>
  <c r="C24" i="3" s="1"/>
  <c r="B23" i="3"/>
  <c r="C23" i="3" s="1"/>
  <c r="B22" i="3"/>
  <c r="C22" i="3" s="1"/>
  <c r="B21" i="3"/>
  <c r="C21" i="3" s="1"/>
  <c r="B20" i="3"/>
  <c r="C20" i="3" s="1"/>
  <c r="C19" i="3"/>
  <c r="B19" i="3"/>
  <c r="B18" i="3"/>
  <c r="C18" i="3" s="1"/>
  <c r="B17" i="3"/>
  <c r="C17" i="3" s="1"/>
  <c r="C13" i="3"/>
  <c r="C72" i="3" s="1"/>
  <c r="C12" i="3"/>
  <c r="D136" i="3" s="1"/>
  <c r="C11" i="3"/>
  <c r="E89" i="2"/>
  <c r="B89" i="2"/>
  <c r="E88" i="2"/>
  <c r="B88" i="2"/>
  <c r="D88" i="2" s="1"/>
  <c r="E87" i="2"/>
  <c r="B87" i="2"/>
  <c r="E86" i="2"/>
  <c r="B86" i="2"/>
  <c r="E85" i="2"/>
  <c r="B85" i="2"/>
  <c r="E84" i="2"/>
  <c r="B84" i="2"/>
  <c r="E83" i="2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C11" i="2"/>
  <c r="D56" i="4" l="1"/>
  <c r="E56" i="4" s="1"/>
  <c r="H26" i="4"/>
  <c r="K26" i="4" s="1"/>
  <c r="D57" i="4"/>
  <c r="E57" i="4" s="1"/>
  <c r="H38" i="4"/>
  <c r="K38" i="4" s="1"/>
  <c r="D143" i="3"/>
  <c r="D130" i="3"/>
  <c r="D148" i="3"/>
  <c r="C148" i="3"/>
  <c r="C67" i="3"/>
  <c r="D67" i="3" s="1"/>
  <c r="D81" i="2"/>
  <c r="C76" i="2"/>
  <c r="C88" i="2"/>
  <c r="F88" i="2" s="1"/>
  <c r="C42" i="2"/>
  <c r="C38" i="2"/>
  <c r="C34" i="2"/>
  <c r="E34" i="2" s="1"/>
  <c r="C30" i="2"/>
  <c r="C26" i="2"/>
  <c r="C22" i="2"/>
  <c r="C18" i="2"/>
  <c r="C77" i="2"/>
  <c r="C80" i="2"/>
  <c r="C20" i="2"/>
  <c r="D25" i="2"/>
  <c r="C36" i="2"/>
  <c r="E36" i="2" s="1"/>
  <c r="D86" i="2"/>
  <c r="E55" i="3"/>
  <c r="D123" i="3"/>
  <c r="D142" i="3"/>
  <c r="E142" i="3" s="1"/>
  <c r="E20" i="2"/>
  <c r="D82" i="2"/>
  <c r="E31" i="2"/>
  <c r="D41" i="2"/>
  <c r="D149" i="3"/>
  <c r="D145" i="3"/>
  <c r="D141" i="3"/>
  <c r="D137" i="3"/>
  <c r="D133" i="3"/>
  <c r="D129" i="3"/>
  <c r="D125" i="3"/>
  <c r="C82" i="3"/>
  <c r="C78" i="3"/>
  <c r="D78" i="3" s="1"/>
  <c r="C74" i="3"/>
  <c r="D74" i="3" s="1"/>
  <c r="C70" i="3"/>
  <c r="D70" i="3" s="1"/>
  <c r="C66" i="3"/>
  <c r="D66" i="3" s="1"/>
  <c r="C62" i="3"/>
  <c r="D62" i="3" s="1"/>
  <c r="C58" i="3"/>
  <c r="C54" i="3"/>
  <c r="C149" i="3"/>
  <c r="E149" i="3" s="1"/>
  <c r="C145" i="3"/>
  <c r="C141" i="3"/>
  <c r="C137" i="3"/>
  <c r="C133" i="3"/>
  <c r="C129" i="3"/>
  <c r="C125" i="3"/>
  <c r="C151" i="3"/>
  <c r="C147" i="3"/>
  <c r="C143" i="3"/>
  <c r="E143" i="3" s="1"/>
  <c r="C139" i="3"/>
  <c r="C135" i="3"/>
  <c r="C131" i="3"/>
  <c r="C127" i="3"/>
  <c r="C123" i="3"/>
  <c r="E123" i="3" s="1"/>
  <c r="D72" i="3"/>
  <c r="E72" i="3" s="1"/>
  <c r="C15" i="2"/>
  <c r="D20" i="2"/>
  <c r="C31" i="2"/>
  <c r="D36" i="2"/>
  <c r="C55" i="3"/>
  <c r="D55" i="3" s="1"/>
  <c r="E67" i="3"/>
  <c r="C130" i="3"/>
  <c r="E130" i="3" s="1"/>
  <c r="C136" i="3"/>
  <c r="E136" i="3" s="1"/>
  <c r="D54" i="4"/>
  <c r="E54" i="4" s="1"/>
  <c r="I38" i="4"/>
  <c r="L38" i="4" s="1"/>
  <c r="C21" i="2"/>
  <c r="E21" i="2" s="1"/>
  <c r="C37" i="2"/>
  <c r="E37" i="2" s="1"/>
  <c r="C75" i="2"/>
  <c r="F75" i="2" s="1"/>
  <c r="C79" i="2"/>
  <c r="F79" i="2" s="1"/>
  <c r="C83" i="2"/>
  <c r="F83" i="2" s="1"/>
  <c r="C87" i="2"/>
  <c r="C56" i="3"/>
  <c r="E61" i="3"/>
  <c r="C73" i="3"/>
  <c r="D73" i="3" s="1"/>
  <c r="C79" i="3"/>
  <c r="D79" i="3" s="1"/>
  <c r="C124" i="3"/>
  <c r="C150" i="3"/>
  <c r="D78" i="2"/>
  <c r="D31" i="2"/>
  <c r="D79" i="2"/>
  <c r="D124" i="3"/>
  <c r="D16" i="2"/>
  <c r="E16" i="2" s="1"/>
  <c r="C27" i="2"/>
  <c r="E27" i="2" s="1"/>
  <c r="D32" i="2"/>
  <c r="E32" i="2" s="1"/>
  <c r="C43" i="2"/>
  <c r="E43" i="2" s="1"/>
  <c r="C80" i="3"/>
  <c r="C138" i="3"/>
  <c r="C144" i="3"/>
  <c r="D83" i="2"/>
  <c r="D37" i="2"/>
  <c r="D22" i="2"/>
  <c r="D27" i="2"/>
  <c r="D38" i="2"/>
  <c r="D43" i="2"/>
  <c r="D80" i="2"/>
  <c r="C84" i="2"/>
  <c r="F84" i="2" s="1"/>
  <c r="E63" i="3"/>
  <c r="D138" i="3"/>
  <c r="D144" i="3"/>
  <c r="D151" i="3"/>
  <c r="C86" i="2"/>
  <c r="E79" i="3"/>
  <c r="C16" i="2"/>
  <c r="D76" i="2"/>
  <c r="C126" i="3"/>
  <c r="C132" i="3"/>
  <c r="E148" i="3"/>
  <c r="C32" i="2"/>
  <c r="D131" i="3"/>
  <c r="C44" i="2"/>
  <c r="E44" i="2" s="1"/>
  <c r="C52" i="3"/>
  <c r="C69" i="3"/>
  <c r="D69" i="3" s="1"/>
  <c r="C75" i="3"/>
  <c r="D75" i="3" s="1"/>
  <c r="D126" i="3"/>
  <c r="D132" i="3"/>
  <c r="D139" i="3"/>
  <c r="C63" i="3"/>
  <c r="D63" i="3" s="1"/>
  <c r="D33" i="2"/>
  <c r="C23" i="2"/>
  <c r="D28" i="2"/>
  <c r="C39" i="2"/>
  <c r="D44" i="2"/>
  <c r="C64" i="3"/>
  <c r="C81" i="3"/>
  <c r="C146" i="3"/>
  <c r="E146" i="3" s="1"/>
  <c r="C152" i="3"/>
  <c r="E152" i="3" s="1"/>
  <c r="C41" i="2"/>
  <c r="C33" i="2"/>
  <c r="E33" i="2" s="1"/>
  <c r="D23" i="2"/>
  <c r="E23" i="2" s="1"/>
  <c r="D77" i="2"/>
  <c r="C76" i="3"/>
  <c r="D127" i="3"/>
  <c r="D146" i="3"/>
  <c r="D152" i="3"/>
  <c r="I26" i="4"/>
  <c r="L26" i="4" s="1"/>
  <c r="D53" i="4"/>
  <c r="E53" i="4" s="1"/>
  <c r="D21" i="2"/>
  <c r="D150" i="3"/>
  <c r="D17" i="2"/>
  <c r="D18" i="2"/>
  <c r="D34" i="2"/>
  <c r="C81" i="2"/>
  <c r="F81" i="2" s="1"/>
  <c r="C29" i="2"/>
  <c r="E29" i="2" s="1"/>
  <c r="C45" i="2"/>
  <c r="C85" i="2"/>
  <c r="C89" i="2"/>
  <c r="C134" i="3"/>
  <c r="E134" i="3" s="1"/>
  <c r="C140" i="3"/>
  <c r="D87" i="2"/>
  <c r="C68" i="3"/>
  <c r="C17" i="2"/>
  <c r="D84" i="2"/>
  <c r="C57" i="3"/>
  <c r="D57" i="3" s="1"/>
  <c r="D39" i="2"/>
  <c r="E39" i="2" s="1"/>
  <c r="C24" i="2"/>
  <c r="D29" i="2"/>
  <c r="C53" i="3"/>
  <c r="D134" i="3"/>
  <c r="D140" i="3"/>
  <c r="D147" i="3"/>
  <c r="D55" i="4"/>
  <c r="E55" i="4" s="1"/>
  <c r="J26" i="4"/>
  <c r="M26" i="4" s="1"/>
  <c r="C25" i="2"/>
  <c r="E25" i="2" s="1"/>
  <c r="D15" i="2"/>
  <c r="D26" i="2"/>
  <c r="D42" i="2"/>
  <c r="D75" i="2"/>
  <c r="C28" i="2"/>
  <c r="E28" i="2" s="1"/>
  <c r="C40" i="2"/>
  <c r="D45" i="2"/>
  <c r="D85" i="2"/>
  <c r="D89" i="2"/>
  <c r="C59" i="3"/>
  <c r="D59" i="3" s="1"/>
  <c r="C19" i="2"/>
  <c r="E19" i="2" s="1"/>
  <c r="D24" i="2"/>
  <c r="C35" i="2"/>
  <c r="E35" i="2" s="1"/>
  <c r="D40" i="2"/>
  <c r="E40" i="2" s="1"/>
  <c r="C65" i="3"/>
  <c r="C71" i="3"/>
  <c r="D71" i="3" s="1"/>
  <c r="C122" i="3"/>
  <c r="C128" i="3"/>
  <c r="D19" i="2"/>
  <c r="D30" i="2"/>
  <c r="D35" i="2"/>
  <c r="C78" i="2"/>
  <c r="C82" i="2"/>
  <c r="C60" i="3"/>
  <c r="C77" i="3"/>
  <c r="D122" i="3"/>
  <c r="D128" i="3"/>
  <c r="D135" i="3"/>
  <c r="E139" i="3" l="1"/>
  <c r="E69" i="3"/>
  <c r="E151" i="3"/>
  <c r="E45" i="2"/>
  <c r="E75" i="3"/>
  <c r="E133" i="3"/>
  <c r="F82" i="2"/>
  <c r="E132" i="3"/>
  <c r="E137" i="3"/>
  <c r="F78" i="2"/>
  <c r="E24" i="2"/>
  <c r="E17" i="2"/>
  <c r="E126" i="3"/>
  <c r="E145" i="3"/>
  <c r="E140" i="3"/>
  <c r="E15" i="2"/>
  <c r="E41" i="2"/>
  <c r="E30" i="2"/>
  <c r="D58" i="3"/>
  <c r="E58" i="3" s="1"/>
  <c r="D64" i="3"/>
  <c r="E64" i="3" s="1"/>
  <c r="E127" i="3"/>
  <c r="E38" i="2"/>
  <c r="D65" i="3"/>
  <c r="E65" i="3" s="1"/>
  <c r="E131" i="3"/>
  <c r="E42" i="2"/>
  <c r="E59" i="3"/>
  <c r="E135" i="3"/>
  <c r="E26" i="2"/>
  <c r="F76" i="2"/>
  <c r="D68" i="3"/>
  <c r="E68" i="3" s="1"/>
  <c r="E76" i="3"/>
  <c r="D76" i="3"/>
  <c r="D82" i="3"/>
  <c r="E82" i="3" s="1"/>
  <c r="E66" i="3"/>
  <c r="D52" i="3"/>
  <c r="E52" i="3" s="1"/>
  <c r="E71" i="3"/>
  <c r="E150" i="3"/>
  <c r="E74" i="3"/>
  <c r="D80" i="3"/>
  <c r="E80" i="3" s="1"/>
  <c r="D53" i="3"/>
  <c r="E53" i="3" s="1"/>
  <c r="E124" i="3"/>
  <c r="E125" i="3"/>
  <c r="E78" i="3"/>
  <c r="D81" i="3"/>
  <c r="E81" i="3" s="1"/>
  <c r="E147" i="3"/>
  <c r="E129" i="3"/>
  <c r="E62" i="3"/>
  <c r="D60" i="3"/>
  <c r="E60" i="3" s="1"/>
  <c r="F89" i="2"/>
  <c r="F85" i="2"/>
  <c r="F80" i="2"/>
  <c r="F86" i="2"/>
  <c r="F77" i="2"/>
  <c r="E70" i="3"/>
  <c r="E128" i="3"/>
  <c r="E144" i="3"/>
  <c r="D56" i="3"/>
  <c r="E56" i="3" s="1"/>
  <c r="E141" i="3"/>
  <c r="E18" i="2"/>
  <c r="E57" i="3"/>
  <c r="D54" i="3"/>
  <c r="E54" i="3" s="1"/>
  <c r="D77" i="3"/>
  <c r="E77" i="3" s="1"/>
  <c r="E122" i="3"/>
  <c r="E138" i="3"/>
  <c r="F87" i="2"/>
  <c r="E22" i="2"/>
  <c r="E7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公式表</author>
  </authors>
  <commentList>
    <comment ref="C4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施法者攻击（含加成）。来源：战斗伤害公式调研.md §2</t>
        </r>
      </text>
    </comment>
    <comment ref="C5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攻防差 = 攻击-防御，高收益区间 -70~130（§2.4）</t>
        </r>
      </text>
    </comment>
    <comment ref="C6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兵刃战法伤害率，通常不受属性影响</t>
        </r>
      </text>
    </comment>
    <comment ref="C7" authorId="0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攻击基础每次攻击随机取 0.30~0.39，图表取均值 0.345（§2.3）；无宏观 ±5% 波动</t>
        </r>
      </text>
    </comment>
    <comment ref="C8" authorId="0" shapeId="0" xr:uid="{00000000-0006-0000-0100-000005000000}">
      <text>
        <r>
          <rPr>
            <sz val="11"/>
            <color theme="1"/>
            <rFont val="宋体"/>
            <family val="2"/>
            <scheme val="minor"/>
          </rPr>
          <t>所有增伤数值相加（大赏三军/神兵天降等，造成侧+受到侧）</t>
        </r>
      </text>
    </comment>
    <comment ref="C9" authorId="0" shapeId="0" xr:uid="{00000000-0006-0000-0100-000006000000}">
      <text>
        <r>
          <rPr>
            <sz val="11"/>
            <color theme="1"/>
            <rFont val="宋体"/>
            <family val="2"/>
            <scheme val="minor"/>
          </rPr>
          <t>所有减伤数值相加（避其锋芒/步步为营等受击方减伤）</t>
        </r>
      </text>
    </comment>
    <comment ref="C10" authorId="0" shapeId="0" xr:uid="{00000000-0006-0000-0100-000007000000}">
      <text>
        <r>
          <rPr>
            <sz val="11"/>
            <color theme="1"/>
            <rFont val="宋体"/>
            <family val="2"/>
            <scheme val="minor"/>
          </rPr>
          <t>图表③「总伤害 vs 攻击」时使用的固定兵力</t>
        </r>
      </text>
    </comment>
    <comment ref="C11" authorId="0" shapeId="0" xr:uid="{00000000-0006-0000-0100-000008000000}">
      <text>
        <r>
          <rPr>
            <sz val="11"/>
            <color theme="1"/>
            <rFont val="宋体"/>
            <family val="2"/>
            <scheme val="minor"/>
          </rPr>
          <t>单一总和模型：因子 = max(10%, 1 + Σ增伤 − Σ减伤)（物理/谋略统一，v0.14 权威复核）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公式表</author>
  </authors>
  <commentList>
    <comment ref="C4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施法者谋略属性（含加成）</t>
        </r>
      </text>
    </comment>
    <comment ref="C5" authorId="0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目标谋略减伤只看目标自身谋略（§3.4），≤50 无减伤</t>
        </r>
      </text>
    </comment>
    <comment ref="C6" authorId="0" shapeId="0" xr:uid="{00000000-0006-0000-0200-000003000000}">
      <text>
        <r>
          <rPr>
            <sz val="11"/>
            <color theme="1"/>
            <rFont val="宋体"/>
            <family val="2"/>
            <scheme val="minor"/>
          </rPr>
          <t>谋略 80 时的战法描述值，如 众谋不懈 194%、落雷 148%（谋略战法受谋略成长调研.md）</t>
        </r>
      </text>
    </comment>
    <comment ref="C7" authorId="0" shapeId="0" xr:uid="{00000000-0006-0000-0200-000004000000}">
      <text>
        <r>
          <rPr>
            <sz val="11"/>
            <color theme="1"/>
            <rFont val="宋体"/>
            <family val="2"/>
            <scheme val="minor"/>
          </rPr>
          <t>每 +1 谋略伤害率 +N%（众谋不懈 1.925）</t>
        </r>
      </text>
    </comment>
    <comment ref="C8" authorId="0" shapeId="0" xr:uid="{00000000-0006-0000-0200-000005000000}">
      <text>
        <r>
          <rPr>
            <sz val="11"/>
            <color theme="1"/>
            <rFont val="宋体"/>
            <family val="2"/>
            <scheme val="minor"/>
          </rPr>
          <t>兵力基础伤害与单位伤害的自变量</t>
        </r>
      </text>
    </comment>
    <comment ref="C9" authorId="0" shapeId="0" xr:uid="{00000000-0006-0000-0200-000006000000}">
      <text>
        <r>
          <rPr>
            <sz val="11"/>
            <color theme="1"/>
            <rFont val="宋体"/>
            <family val="2"/>
            <scheme val="minor"/>
          </rPr>
          <t>所有增伤数值相加（大赏三军/神兵天降等，造成侧+受到侧）</t>
        </r>
      </text>
    </comment>
    <comment ref="C10" authorId="0" shapeId="0" xr:uid="{00000000-0006-0000-0200-000007000000}">
      <text>
        <r>
          <rPr>
            <sz val="11"/>
            <color theme="1"/>
            <rFont val="宋体"/>
            <family val="2"/>
            <scheme val="minor"/>
          </rPr>
          <t>所有减伤数值相加（避其锋芒/金匮要略等受击方减伤）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公式表</author>
  </authors>
  <commentList>
    <comment ref="C4" authorId="0" shapeId="0" xr:uid="{00000000-0006-0000-0300-000001000000}">
      <text>
        <r>
          <rPr>
            <sz val="11"/>
            <color theme="1"/>
            <rFont val="宋体"/>
            <family val="2"/>
            <scheme val="minor"/>
          </rPr>
          <t>恢复值 = floor(round(300×施法者兵力/(3500+施法者兵力)) × 恢复率/100 × (1+恢复提高))；状态类恢复（休整/持续急救）取「状态被施加那一刻」的施法者兵力（十面埋伏《率土秘卷一：恢复效果》）</t>
        </r>
      </text>
    </comment>
    <comment ref="C5" authorId="0" shapeId="0" xr:uid="{00000000-0006-0000-0300-000002000000}">
      <text>
        <r>
          <rPr>
            <sz val="11"/>
            <color theme="1"/>
            <rFont val="宋体"/>
            <family val="2"/>
            <scheme val="minor"/>
          </rPr>
          <t>实际恢复量 ≤ 伤兵池 且 ≤ 最大兵力−当前兵力（recoverTroops）</t>
        </r>
      </text>
    </comment>
    <comment ref="C6" authorId="0" shapeId="0" xr:uid="{00000000-0006-0000-0300-000003000000}">
      <text>
        <r>
          <rPr>
            <sz val="11"/>
            <color theme="1"/>
            <rFont val="宋体"/>
            <family val="2"/>
            <scheme val="minor"/>
          </rPr>
          <t>K/L/M 列实际恢复量的截断示例参数</t>
        </r>
      </text>
    </comment>
    <comment ref="B8" authorId="0" shapeId="0" xr:uid="{00000000-0006-0000-0300-000004000000}">
      <text>
        <r>
          <rPr>
            <sz val="11"/>
            <color theme="1"/>
            <rFont val="宋体"/>
            <family val="2"/>
            <scheme val="minor"/>
          </rPr>
          <t>基础恢复率（谋略 80 时）。来源：谋略战法受谋略成长调研.md §二（已验证，S主动）</t>
        </r>
      </text>
    </comment>
    <comment ref="C8" authorId="0" shapeId="0" xr:uid="{00000000-0006-0000-0300-000005000000}">
      <text>
        <r>
          <rPr>
            <sz val="11"/>
            <color theme="1"/>
            <rFont val="宋体"/>
            <family val="2"/>
            <scheme val="minor"/>
          </rPr>
          <t>每 +1 谋略恢复率 +N%。来源：谋略战法受谋略成长调研.md §二（已验证，S主动）</t>
        </r>
      </text>
    </comment>
    <comment ref="B9" authorId="0" shapeId="0" xr:uid="{00000000-0006-0000-0300-000006000000}">
      <text>
        <r>
          <rPr>
            <sz val="11"/>
            <color theme="1"/>
            <rFont val="宋体"/>
            <family val="2"/>
            <scheme val="minor"/>
          </rPr>
          <t>基础恢复率（谋略 80 时）。来源：谋略战法受谋略成长调研.md §二（刘备，一类指挥）</t>
        </r>
      </text>
    </comment>
    <comment ref="C9" authorId="0" shapeId="0" xr:uid="{00000000-0006-0000-0300-000007000000}">
      <text>
        <r>
          <rPr>
            <sz val="11"/>
            <color theme="1"/>
            <rFont val="宋体"/>
            <family val="2"/>
            <scheme val="minor"/>
          </rPr>
          <t>每 +1 谋略恢复率 +N%。来源：谋略战法受谋略成长调研.md §二（刘备，一类指挥）</t>
        </r>
      </text>
    </comment>
    <comment ref="B10" authorId="0" shapeId="0" xr:uid="{00000000-0006-0000-0300-000008000000}">
      <text>
        <r>
          <rPr>
            <sz val="11"/>
            <color theme="1"/>
            <rFont val="宋体"/>
            <family val="2"/>
            <scheme val="minor"/>
          </rPr>
          <t>基础恢复率（谋略 80 时）。来源：谋略战法受谋略成长调研.md §二（张机，一类指挥）</t>
        </r>
      </text>
    </comment>
    <comment ref="C10" authorId="0" shapeId="0" xr:uid="{00000000-0006-0000-0300-000009000000}">
      <text>
        <r>
          <rPr>
            <sz val="11"/>
            <color theme="1"/>
            <rFont val="宋体"/>
            <family val="2"/>
            <scheme val="minor"/>
          </rPr>
          <t>每 +1 谋略恢复率 +N%。来源：谋略战法受谋略成长调研.md §二（张机，一类指挥）</t>
        </r>
      </text>
    </comment>
    <comment ref="C12" authorId="0" shapeId="0" xr:uid="{00000000-0006-0000-0300-00000A000000}">
      <text>
        <r>
          <rPr>
            <sz val="11"/>
            <color theme="1"/>
            <rFont val="宋体"/>
            <family val="2"/>
            <scheme val="minor"/>
          </rPr>
          <t>K/L/M 列实际恢复量的截断示例参数</t>
        </r>
      </text>
    </comment>
    <comment ref="C13" authorId="0" shapeId="0" xr:uid="{00000000-0006-0000-0300-00000B000000}">
      <text>
        <r>
          <rPr>
            <sz val="11"/>
            <color theme="1"/>
            <rFont val="宋体"/>
            <family val="2"/>
            <scheme val="minor"/>
          </rPr>
          <t>极罕见（宝物博浪【抖擞】/锻造【仁心】），默认 0</t>
        </r>
      </text>
    </comment>
  </commentList>
</comments>
</file>

<file path=xl/sharedStrings.xml><?xml version="1.0" encoding="utf-8"?>
<sst xmlns="http://schemas.openxmlformats.org/spreadsheetml/2006/main" count="141" uniqueCount="114">
  <si>
    <t>《率土之滨》战斗公式 Excel 计算表</t>
  </si>
  <si>
    <t>物理伤害 / 谋略伤害 / 兵力恢复 计算公式 + 因变量-自变量图表</t>
  </si>
  <si>
    <t>公式来源：dateyuan/战斗伤害公式调研.md（伤害三部分相加模型）· dateyuan/谋略战法受谋略成长调研.md（受谋略成长/恢复率）· src/engine/formulas.ts（曲线参数与取整规则，社区战报反推，非官方公布公式）</t>
  </si>
  <si>
    <t>使用说明</t>
  </si>
  <si>
    <t>1. 蓝色数字 = 输入参数（浅黄底），可随意修改；黑色数字 = 公式自动计算。</t>
  </si>
  <si>
    <t>2. 修改输入后，全部公式与图表自动更新（打开文件时已设置为自动重算；若未刷新按 F9）。</t>
  </si>
  <si>
    <t>3. 每个工作表的图表均以「表格内某列」为自变量（X 轴）、伤害/恢复为因变量（Y 轴）。</t>
  </si>
  <si>
    <t>4. 引擎取整规则已内建：1% 粒度「八舍九入」= 小数部分 ≥0.9 进 1 否则舍去；伤害各部分先四舍五入再相加。</t>
  </si>
  <si>
    <t>5. 「原始值」灰字列仅用于展示取整前的数值，正式口径以取整列为准。</t>
  </si>
  <si>
    <t>三个公式总览</t>
  </si>
  <si>
    <t>类别</t>
  </si>
  <si>
    <t>公式结构</t>
  </si>
  <si>
    <t>关键说明</t>
  </si>
  <si>
    <t>物理（兵刃）伤害</t>
  </si>
  <si>
    <t>总伤害 = 兵力基础伤害 + 攻击基础伤害 + 主要伤害</t>
  </si>
  <si>
    <t>兵力基础 = ROUND(373×兵/(7700+兵))；攻击基础 = 攻击×随机系数(0.30~0.39)×伤害率×增减伤因子；主要 = 单位伤害×伤害率×攻防差因子×增减伤因子；单次伤害上限 = 目标当前兵力</t>
  </si>
  <si>
    <t>谋略（策略）伤害</t>
  </si>
  <si>
    <t>总伤害 = 兵力基础伤害 + 谋略基础伤害 + 主要伤害</t>
  </si>
  <si>
    <t>兵力基础 = ROUND(178×兵/(6459+兵))（DoT ×1/3）；谋略基础 = 谋略×0.5(DoT 0.25)×目标谋略减伤×增减伤因子；主要 = 单位伤害×有效伤害率×目标谋略减伤×增减伤因子；有效伤害率 = 八舍九入(基础率+成长率×(谋略-80))</t>
  </si>
  <si>
    <t>兵力恢复</t>
  </si>
  <si>
    <t>恢复值 = FLOOR(ROUND(300×施法者兵力/(3500+施法者兵力)) × 恢复率/100 × (1+恢复提高效果))</t>
  </si>
  <si>
    <t>恢复率 = 八舍九入(基础恢复率 + 成长率×(谋略-80))；谋略&lt;80 时按 基础×0.4+基础×0.6×(谋略/80) 折减；实际恢复量 ≤ 伤兵池 且 ≤ 兵力缺口（引擎 recoverTroops）；⚠️ 原文为 300×兵力（乘号）</t>
  </si>
  <si>
    <t>共用因子与取整规则</t>
  </si>
  <si>
    <t>• 单位伤害曲线（物理/谋略/恢复共用）：unitDamage = 300×兵/(3500+兵)，9000 兵 ≈216、10000 兵 ≈222</t>
  </si>
  <si>
    <t>• 攻防差因子：攻防差 = 攻击-目标防御；攻防差 ≥0 → 3-500/(250+攻防差)；&lt;0 → 100/(100-攻防差)；保留两位小数（高收益区间 -70~130）</t>
  </si>
  <si>
    <t>• 目标谋略减伤：≤50 无减伤；&gt;50 → CEILING(100-(75-9375/(75+目标谋略)))/100，下限 0.10（52 起每档约 -1%，&gt;129 后边际很小）</t>
  </si>
  <si>
    <t>• 受谋略成长：谋略 ≥80 → 基础值+成长率×(谋略-80)；谋略 &lt;80 → 基础值×0.4+基础值×0.6×(谋略/80)</t>
  </si>
  <si>
    <t>• 八舍九入（roundRate）：小数部分 ≥0.9 进 1，否则舍去（如 40.9→41，40.5→40）</t>
  </si>
  <si>
    <t>• 增减伤因子（单一总和，物理/谋略统一，v0.14 权威复核）：因子 = max(10%, 1 + Σ增伤 − Σ减伤)；例 增60%+减60% → 1.0</t>
  </si>
  <si>
    <t>• 士气系数（未入图）：每点士气 +0.6% 发动率，100→1.0、120→1.12（moraleRate）</t>
  </si>
  <si>
    <t>• 随机波动仅存在于攻击基础随机系数 0.30~0.39（无宏观 ±5% 波动，v0.14 已删除）</t>
  </si>
  <si>
    <t>物理（兵刃）伤害计算公式</t>
  </si>
  <si>
    <t>总伤害 = 兵力基础伤害 + 攻击基础伤害 + 主要伤害；单次伤害上限 = 目标当前兵力；攻击基础随机系数 0.30~0.39（图表取均值 0.345）</t>
  </si>
  <si>
    <t>攻击属性</t>
  </si>
  <si>
    <t>目标防御</t>
  </si>
  <si>
    <t>伤害率（%）</t>
  </si>
  <si>
    <t>攻击基础随机系数（0.30~0.39）</t>
  </si>
  <si>
    <t>增伤合计（%，正值）</t>
  </si>
  <si>
    <t>减伤合计（%，正值）</t>
  </si>
  <si>
    <t>兵力（图表③固定值）</t>
  </si>
  <si>
    <t>蓝色数字为输入参数；黑色为公式自动计算；修改输入后图表自动更新</t>
  </si>
  <si>
    <t>增减伤因子（自动计算）</t>
  </si>
  <si>
    <t>图表① 数据：伤害三部分与总伤害 vs 兵力（自变量=兵力）</t>
  </si>
  <si>
    <t>兵力</t>
  </si>
  <si>
    <t>兵力基础伤害</t>
  </si>
  <si>
    <t>攻击基础伤害</t>
  </si>
  <si>
    <t>主要伤害</t>
  </si>
  <si>
    <t>总伤害</t>
  </si>
  <si>
    <t>图表② 数据：攻防差因子 vs 攻防差（自变量=攻防差=攻击-防御）</t>
  </si>
  <si>
    <t>攻防差</t>
  </si>
  <si>
    <t>攻防差因子</t>
  </si>
  <si>
    <t>图表③ 数据：总伤害 vs 攻击属性（目标防御 150、兵力 9000、伤害率 100% 固定）</t>
  </si>
  <si>
    <t>攻击</t>
  </si>
  <si>
    <t>谋略（策略）伤害计算公式</t>
  </si>
  <si>
    <t>总伤害 = 兵力基础伤害 + 谋略基础伤害 + 主要伤害；有效伤害率受施法者谋略线性成长（八舍九入）；目标谋略阶梯减伤（与双方谋略差无关）</t>
  </si>
  <si>
    <t>施法者谋略</t>
  </si>
  <si>
    <t>目标谋略</t>
  </si>
  <si>
    <t>基础伤害率（%）</t>
  </si>
  <si>
    <t>伤害率成长率（%/点）</t>
  </si>
  <si>
    <t>施法者兵力</t>
  </si>
  <si>
    <t>当前有效伤害率·原始值（%）</t>
  </si>
  <si>
    <t>当前有效伤害率·八舍九入（%）</t>
  </si>
  <si>
    <t>图表① 数据：有效伤害率 vs 施法者谋略（自变量=谋略，含 &lt;80 折减）</t>
  </si>
  <si>
    <t>有效伤害率·原始值(%)</t>
  </si>
  <si>
    <t>有效伤害率·取整(%)</t>
  </si>
  <si>
    <t>图表② 数据：谋略伤害拆解 vs 施法者谋略（目标谋略 100、兵力 9000 固定）</t>
  </si>
  <si>
    <t>谋略基础伤害</t>
  </si>
  <si>
    <t>图表③ 数据：目标谋略减伤因子 vs 目标谋略（自变量=目标谋略）</t>
  </si>
  <si>
    <t>目标谋略减伤因子</t>
  </si>
  <si>
    <t>图表④ 数据：谋略伤害 vs 施法者兵力（施法者谋略 200、目标谋略 100 固定）</t>
  </si>
  <si>
    <t>兵力恢复计算公式</t>
  </si>
  <si>
    <t>恢复值 = FLOOR(ROUND(300×施法者兵力/(3500+施法者兵力)) × 恢复率/100 × (1+恢复提高效果))；恢复率 = 八舍九入(基础恢复率 + 成长率×(谋略-80))，谋略&lt;80 折减；实际恢复量 ≤ 伤兵池 且 ≤ 兵力缺口</t>
  </si>
  <si>
    <t>施法者兵力（单位伤害曲线用）</t>
  </si>
  <si>
    <t>目标最大兵力</t>
  </si>
  <si>
    <t>目标当前兵力（截断示例）</t>
  </si>
  <si>
    <t>战法</t>
  </si>
  <si>
    <t>基础恢复率(%·谋略80)</t>
  </si>
  <si>
    <t>成长率(%/点)</t>
  </si>
  <si>
    <t>来源</t>
  </si>
  <si>
    <t>三军之众</t>
  </si>
  <si>
    <t>谋略战法受谋略成长调研.md §二（已验证，S主动）</t>
  </si>
  <si>
    <t>皇裔流离</t>
  </si>
  <si>
    <t>谋略战法受谋略成长调研.md §二（刘备，一类指挥）</t>
  </si>
  <si>
    <t>金匮要略</t>
  </si>
  <si>
    <t>谋略战法受谋略成长调研.md §二（张机，一类指挥）</t>
  </si>
  <si>
    <t>目标伤兵池（截断示例）</t>
  </si>
  <si>
    <t>恢复提高效果（%）</t>
  </si>
  <si>
    <t>图表①② 数据：恢复率 / 恢复值 vs 施法者谋略（自变量=谋略）</t>
  </si>
  <si>
    <t>三军之众·原始率(%)</t>
  </si>
  <si>
    <t>三军之众·恢复率(%)</t>
  </si>
  <si>
    <t>皇裔流离·原始率(%)</t>
  </si>
  <si>
    <t>皇裔流离·恢复率(%)</t>
  </si>
  <si>
    <t>金匮要略·原始率(%)</t>
  </si>
  <si>
    <t>金匮要略·恢复率(%)</t>
  </si>
  <si>
    <t>三军之众·恢复值</t>
  </si>
  <si>
    <t>皇裔流离·恢复值</t>
  </si>
  <si>
    <t>金匮要略·恢复值</t>
  </si>
  <si>
    <t>三军之众·实际恢复</t>
  </si>
  <si>
    <t>皇裔流离·实际恢复</t>
  </si>
  <si>
    <t>金匮要略·实际恢复</t>
  </si>
  <si>
    <t>验证锚点①：恢复率（对照调研文档）</t>
  </si>
  <si>
    <t>谋略</t>
  </si>
  <si>
    <t>文档期望(%)</t>
  </si>
  <si>
    <t>公式计算(%)</t>
  </si>
  <si>
    <t>一致?</t>
  </si>
  <si>
    <t>验证锚点②：伤害与恢复公式锚点（对照调研文档）</t>
  </si>
  <si>
    <t>项目</t>
  </si>
  <si>
    <t>公式计算</t>
  </si>
  <si>
    <t>文档期望</t>
  </si>
  <si>
    <t>物理兵力基础伤害（10000 兵，期望≈211）</t>
  </si>
  <si>
    <t>谋略兵力基础伤害（10000 兵，期望≈108）</t>
  </si>
  <si>
    <t>攻防差因子（攻防差=100，期望 1.57）</t>
  </si>
  <si>
    <t>攻防差因子（攻防差=-70，期望 0.59）</t>
  </si>
  <si>
    <t>恢复值（皇裔流离 9500兵·谋略269→恢复率181%，战报期望 396）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</si>
</sst>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14" x14ac:knownFonts="1">
    <font>
      <sz val="11"/>
      <color theme="1"/>
      <name val="宋体"/>
      <family val="2"/>
      <scheme val="minor"/>
    </font>
    <font>
      <b/>
      <sz val="15"/>
      <color rgb="FF1F3864"/>
      <name val="宋体"/>
      <charset val="134"/>
    </font>
    <font>
      <b/>
      <sz val="12"/>
      <color rgb="FF4472C4"/>
      <name val="宋体"/>
      <charset val="134"/>
    </font>
    <font>
      <sz val="10"/>
      <color rgb="FF404040"/>
      <name val="宋体"/>
      <charset val="134"/>
    </font>
    <font>
      <b/>
      <sz val="12"/>
      <name val="宋体"/>
      <charset val="134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rgb="FF0000FF"/>
      <name val="宋体"/>
      <charset val="134"/>
    </font>
    <font>
      <b/>
      <sz val="11"/>
      <color rgb="FF000000"/>
      <name val="宋体"/>
      <charset val="134"/>
    </font>
    <font>
      <b/>
      <sz val="11"/>
      <color rgb="FF4472C4"/>
      <name val="宋体"/>
      <charset val="134"/>
    </font>
    <font>
      <b/>
      <sz val="11"/>
      <color rgb="FF7030A0"/>
      <name val="宋体"/>
      <charset val="134"/>
    </font>
    <font>
      <sz val="11"/>
      <color rgb="FF808080"/>
      <name val="宋体"/>
      <charset val="134"/>
    </font>
    <font>
      <b/>
      <sz val="11"/>
      <color rgb="FF548235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CC"/>
      </patternFill>
    </fill>
    <fill>
      <patternFill patternType="solid">
        <fgColor rgb="FF7030A0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7" fillId="3" borderId="1" xfId="0" applyNumberFormat="1" applyFont="1" applyFill="1" applyBorder="1"/>
    <xf numFmtId="176" fontId="7" fillId="3" borderId="1" xfId="0" applyNumberFormat="1" applyFont="1" applyFill="1" applyBorder="1"/>
    <xf numFmtId="0" fontId="8" fillId="0" borderId="0" xfId="0" applyFont="1" applyAlignment="1">
      <alignment horizontal="left" vertical="center"/>
    </xf>
    <xf numFmtId="2" fontId="0" fillId="0" borderId="1" xfId="0" applyNumberFormat="1" applyBorder="1"/>
    <xf numFmtId="0" fontId="9" fillId="0" borderId="0" xfId="0" applyFont="1" applyAlignment="1">
      <alignment horizontal="left" vertical="center"/>
    </xf>
    <xf numFmtId="0" fontId="0" fillId="0" borderId="1" xfId="0" applyBorder="1"/>
    <xf numFmtId="1" fontId="0" fillId="0" borderId="1" xfId="0" applyNumberFormat="1" applyBorder="1"/>
    <xf numFmtId="0" fontId="10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2" fontId="11" fillId="0" borderId="1" xfId="0" applyNumberFormat="1" applyFont="1" applyBorder="1"/>
    <xf numFmtId="0" fontId="5" fillId="5" borderId="1" xfId="0" applyFont="1" applyFill="1" applyBorder="1" applyAlignment="1">
      <alignment horizontal="center" vertical="center" wrapText="1"/>
    </xf>
    <xf numFmtId="177" fontId="7" fillId="3" borderId="1" xfId="0" applyNumberFormat="1" applyFont="1" applyFill="1" applyBorder="1"/>
    <xf numFmtId="0" fontId="11" fillId="0" borderId="1" xfId="0" applyFont="1" applyBorder="1"/>
    <xf numFmtId="0" fontId="1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物理伤害 vs 兵力（三部分拆解）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物理伤害!$B$14</c:f>
              <c:strCache>
                <c:ptCount val="1"/>
                <c:pt idx="0">
                  <c:v>兵力基础伤害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物理伤害!$A$15:$A$45</c:f>
              <c:numCache>
                <c:formatCode>General</c:formatCode>
                <c:ptCount val="3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</c:numCache>
            </c:numRef>
          </c:cat>
          <c:val>
            <c:numRef>
              <c:f>物理伤害!$B$15:$B$45</c:f>
              <c:numCache>
                <c:formatCode>0</c:formatCode>
                <c:ptCount val="31"/>
                <c:pt idx="0">
                  <c:v>0</c:v>
                </c:pt>
                <c:pt idx="1">
                  <c:v>23</c:v>
                </c:pt>
                <c:pt idx="2">
                  <c:v>43</c:v>
                </c:pt>
                <c:pt idx="3">
                  <c:v>61</c:v>
                </c:pt>
                <c:pt idx="4">
                  <c:v>77</c:v>
                </c:pt>
                <c:pt idx="5">
                  <c:v>91</c:v>
                </c:pt>
                <c:pt idx="6">
                  <c:v>105</c:v>
                </c:pt>
                <c:pt idx="7">
                  <c:v>117</c:v>
                </c:pt>
                <c:pt idx="8">
                  <c:v>128</c:v>
                </c:pt>
                <c:pt idx="9">
                  <c:v>138</c:v>
                </c:pt>
                <c:pt idx="10">
                  <c:v>147</c:v>
                </c:pt>
                <c:pt idx="11">
                  <c:v>155</c:v>
                </c:pt>
                <c:pt idx="12">
                  <c:v>163</c:v>
                </c:pt>
                <c:pt idx="13">
                  <c:v>171</c:v>
                </c:pt>
                <c:pt idx="14">
                  <c:v>178</c:v>
                </c:pt>
                <c:pt idx="15">
                  <c:v>184</c:v>
                </c:pt>
                <c:pt idx="16">
                  <c:v>190</c:v>
                </c:pt>
                <c:pt idx="17">
                  <c:v>196</c:v>
                </c:pt>
                <c:pt idx="18">
                  <c:v>201</c:v>
                </c:pt>
                <c:pt idx="19">
                  <c:v>206</c:v>
                </c:pt>
                <c:pt idx="20">
                  <c:v>211</c:v>
                </c:pt>
                <c:pt idx="21">
                  <c:v>215</c:v>
                </c:pt>
                <c:pt idx="22">
                  <c:v>219</c:v>
                </c:pt>
                <c:pt idx="23">
                  <c:v>223</c:v>
                </c:pt>
                <c:pt idx="24">
                  <c:v>227</c:v>
                </c:pt>
                <c:pt idx="25">
                  <c:v>231</c:v>
                </c:pt>
                <c:pt idx="26">
                  <c:v>234</c:v>
                </c:pt>
                <c:pt idx="27">
                  <c:v>238</c:v>
                </c:pt>
                <c:pt idx="28">
                  <c:v>241</c:v>
                </c:pt>
                <c:pt idx="29">
                  <c:v>244</c:v>
                </c:pt>
                <c:pt idx="30">
                  <c:v>246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9B-41E5-B988-DB6D94492715}"/>
            </c:ext>
          </c:extLst>
        </c:ser>
        <c:ser>
          <c:idx val="1"/>
          <c:order val="1"/>
          <c:tx>
            <c:strRef>
              <c:f>物理伤害!$C$14</c:f>
              <c:strCache>
                <c:ptCount val="1"/>
                <c:pt idx="0">
                  <c:v>攻击基础伤害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物理伤害!$A$15:$A$45</c:f>
              <c:numCache>
                <c:formatCode>General</c:formatCode>
                <c:ptCount val="3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</c:numCache>
            </c:numRef>
          </c:cat>
          <c:val>
            <c:numRef>
              <c:f>物理伤害!$C$15:$C$45</c:f>
              <c:numCache>
                <c:formatCode>0</c:formatCode>
                <c:ptCount val="31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  <c:pt idx="8">
                  <c:v>69</c:v>
                </c:pt>
                <c:pt idx="9">
                  <c:v>69</c:v>
                </c:pt>
                <c:pt idx="10">
                  <c:v>69</c:v>
                </c:pt>
                <c:pt idx="11">
                  <c:v>69</c:v>
                </c:pt>
                <c:pt idx="12">
                  <c:v>69</c:v>
                </c:pt>
                <c:pt idx="13">
                  <c:v>69</c:v>
                </c:pt>
                <c:pt idx="14">
                  <c:v>69</c:v>
                </c:pt>
                <c:pt idx="15">
                  <c:v>69</c:v>
                </c:pt>
                <c:pt idx="16">
                  <c:v>69</c:v>
                </c:pt>
                <c:pt idx="17">
                  <c:v>69</c:v>
                </c:pt>
                <c:pt idx="18">
                  <c:v>69</c:v>
                </c:pt>
                <c:pt idx="19">
                  <c:v>69</c:v>
                </c:pt>
                <c:pt idx="20">
                  <c:v>69</c:v>
                </c:pt>
                <c:pt idx="21">
                  <c:v>69</c:v>
                </c:pt>
                <c:pt idx="22">
                  <c:v>69</c:v>
                </c:pt>
                <c:pt idx="23">
                  <c:v>69</c:v>
                </c:pt>
                <c:pt idx="24">
                  <c:v>69</c:v>
                </c:pt>
                <c:pt idx="25">
                  <c:v>69</c:v>
                </c:pt>
                <c:pt idx="26">
                  <c:v>69</c:v>
                </c:pt>
                <c:pt idx="27">
                  <c:v>69</c:v>
                </c:pt>
                <c:pt idx="28">
                  <c:v>69</c:v>
                </c:pt>
                <c:pt idx="29">
                  <c:v>69</c:v>
                </c:pt>
                <c:pt idx="30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9B-41E5-B988-DB6D94492715}"/>
            </c:ext>
          </c:extLst>
        </c:ser>
        <c:ser>
          <c:idx val="2"/>
          <c:order val="2"/>
          <c:tx>
            <c:strRef>
              <c:f>物理伤害!$D$14</c:f>
              <c:strCache>
                <c:ptCount val="1"/>
                <c:pt idx="0">
                  <c:v>主要伤害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物理伤害!$A$15:$A$45</c:f>
              <c:numCache>
                <c:formatCode>General</c:formatCode>
                <c:ptCount val="3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</c:numCache>
            </c:numRef>
          </c:cat>
          <c:val>
            <c:numRef>
              <c:f>物理伤害!$D$15:$D$45</c:f>
              <c:numCache>
                <c:formatCode>0</c:formatCode>
                <c:ptCount val="31"/>
                <c:pt idx="0">
                  <c:v>0</c:v>
                </c:pt>
                <c:pt idx="1">
                  <c:v>50</c:v>
                </c:pt>
                <c:pt idx="2">
                  <c:v>89</c:v>
                </c:pt>
                <c:pt idx="3">
                  <c:v>120</c:v>
                </c:pt>
                <c:pt idx="4">
                  <c:v>145</c:v>
                </c:pt>
                <c:pt idx="5">
                  <c:v>166</c:v>
                </c:pt>
                <c:pt idx="6">
                  <c:v>184</c:v>
                </c:pt>
                <c:pt idx="7">
                  <c:v>200</c:v>
                </c:pt>
                <c:pt idx="8">
                  <c:v>213</c:v>
                </c:pt>
                <c:pt idx="9">
                  <c:v>224</c:v>
                </c:pt>
                <c:pt idx="10">
                  <c:v>235</c:v>
                </c:pt>
                <c:pt idx="11">
                  <c:v>244</c:v>
                </c:pt>
                <c:pt idx="12">
                  <c:v>252</c:v>
                </c:pt>
                <c:pt idx="13">
                  <c:v>259</c:v>
                </c:pt>
                <c:pt idx="14">
                  <c:v>266</c:v>
                </c:pt>
                <c:pt idx="15">
                  <c:v>272</c:v>
                </c:pt>
                <c:pt idx="16">
                  <c:v>278</c:v>
                </c:pt>
                <c:pt idx="17">
                  <c:v>283</c:v>
                </c:pt>
                <c:pt idx="18">
                  <c:v>287</c:v>
                </c:pt>
                <c:pt idx="19">
                  <c:v>292</c:v>
                </c:pt>
                <c:pt idx="20">
                  <c:v>296</c:v>
                </c:pt>
                <c:pt idx="21">
                  <c:v>299</c:v>
                </c:pt>
                <c:pt idx="22">
                  <c:v>303</c:v>
                </c:pt>
                <c:pt idx="23">
                  <c:v>306</c:v>
                </c:pt>
                <c:pt idx="24">
                  <c:v>309</c:v>
                </c:pt>
                <c:pt idx="25">
                  <c:v>312</c:v>
                </c:pt>
                <c:pt idx="26">
                  <c:v>314</c:v>
                </c:pt>
                <c:pt idx="27">
                  <c:v>317</c:v>
                </c:pt>
                <c:pt idx="28">
                  <c:v>319</c:v>
                </c:pt>
                <c:pt idx="29">
                  <c:v>321</c:v>
                </c:pt>
                <c:pt idx="30">
                  <c:v>324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D9B-41E5-B988-DB6D94492715}"/>
            </c:ext>
          </c:extLst>
        </c:ser>
        <c:ser>
          <c:idx val="3"/>
          <c:order val="3"/>
          <c:tx>
            <c:strRef>
              <c:f>物理伤害!$E$14</c:f>
              <c:strCache>
                <c:ptCount val="1"/>
                <c:pt idx="0">
                  <c:v>总伤害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物理伤害!$A$15:$A$45</c:f>
              <c:numCache>
                <c:formatCode>General</c:formatCode>
                <c:ptCount val="3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</c:numCache>
            </c:numRef>
          </c:cat>
          <c:val>
            <c:numRef>
              <c:f>物理伤害!$E$15:$E$45</c:f>
              <c:numCache>
                <c:formatCode>0</c:formatCode>
                <c:ptCount val="31"/>
                <c:pt idx="0">
                  <c:v>69</c:v>
                </c:pt>
                <c:pt idx="1">
                  <c:v>142</c:v>
                </c:pt>
                <c:pt idx="2">
                  <c:v>201</c:v>
                </c:pt>
                <c:pt idx="3">
                  <c:v>250</c:v>
                </c:pt>
                <c:pt idx="4">
                  <c:v>291</c:v>
                </c:pt>
                <c:pt idx="5">
                  <c:v>326</c:v>
                </c:pt>
                <c:pt idx="6">
                  <c:v>358</c:v>
                </c:pt>
                <c:pt idx="7">
                  <c:v>386</c:v>
                </c:pt>
                <c:pt idx="8">
                  <c:v>410</c:v>
                </c:pt>
                <c:pt idx="9">
                  <c:v>431</c:v>
                </c:pt>
                <c:pt idx="10">
                  <c:v>451</c:v>
                </c:pt>
                <c:pt idx="11">
                  <c:v>468</c:v>
                </c:pt>
                <c:pt idx="12">
                  <c:v>484</c:v>
                </c:pt>
                <c:pt idx="13">
                  <c:v>499</c:v>
                </c:pt>
                <c:pt idx="14">
                  <c:v>513</c:v>
                </c:pt>
                <c:pt idx="15">
                  <c:v>525</c:v>
                </c:pt>
                <c:pt idx="16">
                  <c:v>537</c:v>
                </c:pt>
                <c:pt idx="17">
                  <c:v>548</c:v>
                </c:pt>
                <c:pt idx="18">
                  <c:v>557</c:v>
                </c:pt>
                <c:pt idx="19">
                  <c:v>567</c:v>
                </c:pt>
                <c:pt idx="20">
                  <c:v>576</c:v>
                </c:pt>
                <c:pt idx="21">
                  <c:v>583</c:v>
                </c:pt>
                <c:pt idx="22">
                  <c:v>591</c:v>
                </c:pt>
                <c:pt idx="23">
                  <c:v>598</c:v>
                </c:pt>
                <c:pt idx="24">
                  <c:v>605</c:v>
                </c:pt>
                <c:pt idx="25">
                  <c:v>612</c:v>
                </c:pt>
                <c:pt idx="26">
                  <c:v>617</c:v>
                </c:pt>
                <c:pt idx="27">
                  <c:v>624</c:v>
                </c:pt>
                <c:pt idx="28">
                  <c:v>629</c:v>
                </c:pt>
                <c:pt idx="29">
                  <c:v>634</c:v>
                </c:pt>
                <c:pt idx="30">
                  <c:v>639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D9B-41E5-B988-DB6D94492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兵力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伤害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攻防差因子 vs 攻防差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物理伤害!$B$49</c:f>
              <c:strCache>
                <c:ptCount val="1"/>
                <c:pt idx="0">
                  <c:v>攻防差因子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物理伤害!$A$50:$A$70</c:f>
              <c:numCache>
                <c:formatCode>General</c:formatCode>
                <c:ptCount val="21"/>
                <c:pt idx="0">
                  <c:v>-200</c:v>
                </c:pt>
                <c:pt idx="1">
                  <c:v>-175</c:v>
                </c:pt>
                <c:pt idx="2">
                  <c:v>-150</c:v>
                </c:pt>
                <c:pt idx="3">
                  <c:v>-125</c:v>
                </c:pt>
                <c:pt idx="4">
                  <c:v>-100</c:v>
                </c:pt>
                <c:pt idx="5">
                  <c:v>-75</c:v>
                </c:pt>
                <c:pt idx="6">
                  <c:v>-50</c:v>
                </c:pt>
                <c:pt idx="7">
                  <c:v>-25</c:v>
                </c:pt>
                <c:pt idx="8">
                  <c:v>0</c:v>
                </c:pt>
                <c:pt idx="9">
                  <c:v>25</c:v>
                </c:pt>
                <c:pt idx="10">
                  <c:v>50</c:v>
                </c:pt>
                <c:pt idx="11">
                  <c:v>75</c:v>
                </c:pt>
                <c:pt idx="12">
                  <c:v>100</c:v>
                </c:pt>
                <c:pt idx="13">
                  <c:v>125</c:v>
                </c:pt>
                <c:pt idx="14">
                  <c:v>150</c:v>
                </c:pt>
                <c:pt idx="15">
                  <c:v>175</c:v>
                </c:pt>
                <c:pt idx="16">
                  <c:v>200</c:v>
                </c:pt>
                <c:pt idx="17">
                  <c:v>225</c:v>
                </c:pt>
                <c:pt idx="18">
                  <c:v>250</c:v>
                </c:pt>
                <c:pt idx="19">
                  <c:v>275</c:v>
                </c:pt>
                <c:pt idx="20">
                  <c:v>300</c:v>
                </c:pt>
              </c:numCache>
            </c:numRef>
          </c:cat>
          <c:val>
            <c:numRef>
              <c:f>物理伤害!$B$50:$B$70</c:f>
              <c:numCache>
                <c:formatCode>0.00</c:formatCode>
                <c:ptCount val="21"/>
                <c:pt idx="0">
                  <c:v>0.33</c:v>
                </c:pt>
                <c:pt idx="1">
                  <c:v>0.36</c:v>
                </c:pt>
                <c:pt idx="2">
                  <c:v>0.4</c:v>
                </c:pt>
                <c:pt idx="3">
                  <c:v>0.44</c:v>
                </c:pt>
                <c:pt idx="4">
                  <c:v>0.5</c:v>
                </c:pt>
                <c:pt idx="5">
                  <c:v>0.56999999999999995</c:v>
                </c:pt>
                <c:pt idx="6">
                  <c:v>0.67</c:v>
                </c:pt>
                <c:pt idx="7">
                  <c:v>0.8</c:v>
                </c:pt>
                <c:pt idx="8">
                  <c:v>1</c:v>
                </c:pt>
                <c:pt idx="9">
                  <c:v>1.18</c:v>
                </c:pt>
                <c:pt idx="10">
                  <c:v>1.33</c:v>
                </c:pt>
                <c:pt idx="11">
                  <c:v>1.46</c:v>
                </c:pt>
                <c:pt idx="12">
                  <c:v>1.57</c:v>
                </c:pt>
                <c:pt idx="13">
                  <c:v>1.67</c:v>
                </c:pt>
                <c:pt idx="14">
                  <c:v>1.75</c:v>
                </c:pt>
                <c:pt idx="15">
                  <c:v>1.82</c:v>
                </c:pt>
                <c:pt idx="16">
                  <c:v>1.89</c:v>
                </c:pt>
                <c:pt idx="17">
                  <c:v>1.95</c:v>
                </c:pt>
                <c:pt idx="18">
                  <c:v>2</c:v>
                </c:pt>
                <c:pt idx="19">
                  <c:v>2.0499999999999998</c:v>
                </c:pt>
                <c:pt idx="20">
                  <c:v>2.09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62-45D0-862E-2C652ECE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攻防差（攻击-防御）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属性影响因子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总伤害 vs 攻击属性（防御 150 固定）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物理伤害!$C$74</c:f>
              <c:strCache>
                <c:ptCount val="1"/>
                <c:pt idx="0">
                  <c:v>攻击基础伤害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物理伤害!$A$75:$A$89</c:f>
              <c:numCache>
                <c:formatCode>General</c:formatCode>
                <c:ptCount val="15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</c:numCache>
            </c:numRef>
          </c:cat>
          <c:val>
            <c:numRef>
              <c:f>物理伤害!$C$75:$C$89</c:f>
              <c:numCache>
                <c:formatCode>0</c:formatCode>
                <c:ptCount val="15"/>
                <c:pt idx="0">
                  <c:v>17</c:v>
                </c:pt>
                <c:pt idx="1">
                  <c:v>26</c:v>
                </c:pt>
                <c:pt idx="2">
                  <c:v>35</c:v>
                </c:pt>
                <c:pt idx="3">
                  <c:v>43</c:v>
                </c:pt>
                <c:pt idx="4">
                  <c:v>52</c:v>
                </c:pt>
                <c:pt idx="5">
                  <c:v>60</c:v>
                </c:pt>
                <c:pt idx="6">
                  <c:v>69</c:v>
                </c:pt>
                <c:pt idx="7">
                  <c:v>78</c:v>
                </c:pt>
                <c:pt idx="8">
                  <c:v>86</c:v>
                </c:pt>
                <c:pt idx="9">
                  <c:v>95</c:v>
                </c:pt>
                <c:pt idx="10">
                  <c:v>104</c:v>
                </c:pt>
                <c:pt idx="11">
                  <c:v>112</c:v>
                </c:pt>
                <c:pt idx="12">
                  <c:v>121</c:v>
                </c:pt>
                <c:pt idx="13">
                  <c:v>129</c:v>
                </c:pt>
                <c:pt idx="14">
                  <c:v>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DE-424B-8E65-3B2EB445E4F4}"/>
            </c:ext>
          </c:extLst>
        </c:ser>
        <c:ser>
          <c:idx val="1"/>
          <c:order val="1"/>
          <c:tx>
            <c:strRef>
              <c:f>物理伤害!$D$74</c:f>
              <c:strCache>
                <c:ptCount val="1"/>
                <c:pt idx="0">
                  <c:v>主要伤害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物理伤害!$A$75:$A$89</c:f>
              <c:numCache>
                <c:formatCode>General</c:formatCode>
                <c:ptCount val="15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</c:numCache>
            </c:numRef>
          </c:cat>
          <c:val>
            <c:numRef>
              <c:f>物理伤害!$D$75:$D$89</c:f>
              <c:numCache>
                <c:formatCode>0</c:formatCode>
                <c:ptCount val="15"/>
                <c:pt idx="0">
                  <c:v>108</c:v>
                </c:pt>
                <c:pt idx="1">
                  <c:v>123</c:v>
                </c:pt>
                <c:pt idx="2">
                  <c:v>145</c:v>
                </c:pt>
                <c:pt idx="3">
                  <c:v>173</c:v>
                </c:pt>
                <c:pt idx="4">
                  <c:v>216</c:v>
                </c:pt>
                <c:pt idx="5">
                  <c:v>255</c:v>
                </c:pt>
                <c:pt idx="6">
                  <c:v>287</c:v>
                </c:pt>
                <c:pt idx="7">
                  <c:v>315</c:v>
                </c:pt>
                <c:pt idx="8">
                  <c:v>339</c:v>
                </c:pt>
                <c:pt idx="9">
                  <c:v>361</c:v>
                </c:pt>
                <c:pt idx="10">
                  <c:v>378</c:v>
                </c:pt>
                <c:pt idx="11">
                  <c:v>393</c:v>
                </c:pt>
                <c:pt idx="12">
                  <c:v>408</c:v>
                </c:pt>
                <c:pt idx="13">
                  <c:v>421</c:v>
                </c:pt>
                <c:pt idx="14">
                  <c:v>432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DE-424B-8E65-3B2EB445E4F4}"/>
            </c:ext>
          </c:extLst>
        </c:ser>
        <c:ser>
          <c:idx val="2"/>
          <c:order val="2"/>
          <c:tx>
            <c:strRef>
              <c:f>物理伤害!$E$74</c:f>
              <c:strCache>
                <c:ptCount val="1"/>
                <c:pt idx="0">
                  <c:v>兵力基础伤害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物理伤害!$A$75:$A$89</c:f>
              <c:numCache>
                <c:formatCode>General</c:formatCode>
                <c:ptCount val="15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</c:numCache>
            </c:numRef>
          </c:cat>
          <c:val>
            <c:numRef>
              <c:f>物理伤害!$E$75:$E$89</c:f>
              <c:numCache>
                <c:formatCode>0</c:formatCode>
                <c:ptCount val="15"/>
                <c:pt idx="0">
                  <c:v>201</c:v>
                </c:pt>
                <c:pt idx="1">
                  <c:v>201</c:v>
                </c:pt>
                <c:pt idx="2">
                  <c:v>201</c:v>
                </c:pt>
                <c:pt idx="3">
                  <c:v>201</c:v>
                </c:pt>
                <c:pt idx="4">
                  <c:v>201</c:v>
                </c:pt>
                <c:pt idx="5">
                  <c:v>201</c:v>
                </c:pt>
                <c:pt idx="6">
                  <c:v>201</c:v>
                </c:pt>
                <c:pt idx="7">
                  <c:v>201</c:v>
                </c:pt>
                <c:pt idx="8">
                  <c:v>201</c:v>
                </c:pt>
                <c:pt idx="9">
                  <c:v>201</c:v>
                </c:pt>
                <c:pt idx="10">
                  <c:v>201</c:v>
                </c:pt>
                <c:pt idx="11">
                  <c:v>201</c:v>
                </c:pt>
                <c:pt idx="12">
                  <c:v>201</c:v>
                </c:pt>
                <c:pt idx="13">
                  <c:v>201</c:v>
                </c:pt>
                <c:pt idx="14">
                  <c:v>201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5DE-424B-8E65-3B2EB445E4F4}"/>
            </c:ext>
          </c:extLst>
        </c:ser>
        <c:ser>
          <c:idx val="3"/>
          <c:order val="3"/>
          <c:tx>
            <c:strRef>
              <c:f>物理伤害!$F$74</c:f>
              <c:strCache>
                <c:ptCount val="1"/>
                <c:pt idx="0">
                  <c:v>总伤害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物理伤害!$A$75:$A$89</c:f>
              <c:numCache>
                <c:formatCode>General</c:formatCode>
                <c:ptCount val="15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</c:numCache>
            </c:numRef>
          </c:cat>
          <c:val>
            <c:numRef>
              <c:f>物理伤害!$F$75:$F$89</c:f>
              <c:numCache>
                <c:formatCode>0</c:formatCode>
                <c:ptCount val="15"/>
                <c:pt idx="0">
                  <c:v>326</c:v>
                </c:pt>
                <c:pt idx="1">
                  <c:v>350</c:v>
                </c:pt>
                <c:pt idx="2">
                  <c:v>381</c:v>
                </c:pt>
                <c:pt idx="3">
                  <c:v>417</c:v>
                </c:pt>
                <c:pt idx="4">
                  <c:v>469</c:v>
                </c:pt>
                <c:pt idx="5">
                  <c:v>516</c:v>
                </c:pt>
                <c:pt idx="6">
                  <c:v>557</c:v>
                </c:pt>
                <c:pt idx="7">
                  <c:v>594</c:v>
                </c:pt>
                <c:pt idx="8">
                  <c:v>626</c:v>
                </c:pt>
                <c:pt idx="9">
                  <c:v>657</c:v>
                </c:pt>
                <c:pt idx="10">
                  <c:v>683</c:v>
                </c:pt>
                <c:pt idx="11">
                  <c:v>706</c:v>
                </c:pt>
                <c:pt idx="12">
                  <c:v>730</c:v>
                </c:pt>
                <c:pt idx="13">
                  <c:v>751</c:v>
                </c:pt>
                <c:pt idx="14">
                  <c:v>771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5DE-424B-8E65-3B2EB445E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攻击属性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伤害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有效伤害率 vs 施法者谋略（八舍九入）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谋略伤害!$C$16</c:f>
              <c:strCache>
                <c:ptCount val="1"/>
                <c:pt idx="0">
                  <c:v>有效伤害率·取整(%)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谋略伤害!$A$17:$A$47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谋略伤害!$C$17:$C$47</c:f>
              <c:numCache>
                <c:formatCode>0</c:formatCode>
                <c:ptCount val="31"/>
                <c:pt idx="0">
                  <c:v>77</c:v>
                </c:pt>
                <c:pt idx="1">
                  <c:v>92</c:v>
                </c:pt>
                <c:pt idx="2">
                  <c:v>106</c:v>
                </c:pt>
                <c:pt idx="3">
                  <c:v>121</c:v>
                </c:pt>
                <c:pt idx="4">
                  <c:v>135</c:v>
                </c:pt>
                <c:pt idx="5">
                  <c:v>150</c:v>
                </c:pt>
                <c:pt idx="6">
                  <c:v>165</c:v>
                </c:pt>
                <c:pt idx="7">
                  <c:v>179</c:v>
                </c:pt>
                <c:pt idx="8">
                  <c:v>194</c:v>
                </c:pt>
                <c:pt idx="9">
                  <c:v>213</c:v>
                </c:pt>
                <c:pt idx="10">
                  <c:v>232</c:v>
                </c:pt>
                <c:pt idx="11">
                  <c:v>251</c:v>
                </c:pt>
                <c:pt idx="12">
                  <c:v>271</c:v>
                </c:pt>
                <c:pt idx="13">
                  <c:v>290</c:v>
                </c:pt>
                <c:pt idx="14">
                  <c:v>309</c:v>
                </c:pt>
                <c:pt idx="15">
                  <c:v>328</c:v>
                </c:pt>
                <c:pt idx="16">
                  <c:v>348</c:v>
                </c:pt>
                <c:pt idx="17">
                  <c:v>367</c:v>
                </c:pt>
                <c:pt idx="18">
                  <c:v>386</c:v>
                </c:pt>
                <c:pt idx="19">
                  <c:v>405</c:v>
                </c:pt>
                <c:pt idx="20">
                  <c:v>425</c:v>
                </c:pt>
                <c:pt idx="21">
                  <c:v>444</c:v>
                </c:pt>
                <c:pt idx="22">
                  <c:v>463</c:v>
                </c:pt>
                <c:pt idx="23">
                  <c:v>482</c:v>
                </c:pt>
                <c:pt idx="24">
                  <c:v>502</c:v>
                </c:pt>
                <c:pt idx="25">
                  <c:v>521</c:v>
                </c:pt>
                <c:pt idx="26">
                  <c:v>540</c:v>
                </c:pt>
                <c:pt idx="27">
                  <c:v>559</c:v>
                </c:pt>
                <c:pt idx="28">
                  <c:v>579</c:v>
                </c:pt>
                <c:pt idx="29">
                  <c:v>598</c:v>
                </c:pt>
                <c:pt idx="30">
                  <c:v>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7F-4825-A15B-C9FA422E6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施法者谋略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有效伤害率(%)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谋略伤害拆解 vs 施法者谋略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谋略伤害!$B$51</c:f>
              <c:strCache>
                <c:ptCount val="1"/>
                <c:pt idx="0">
                  <c:v>兵力基础伤害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谋略伤害!$A$52:$A$82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谋略伤害!$B$52:$B$82</c:f>
              <c:numCache>
                <c:formatCode>0</c:formatCode>
                <c:ptCount val="31"/>
                <c:pt idx="0">
                  <c:v>104</c:v>
                </c:pt>
                <c:pt idx="1">
                  <c:v>104</c:v>
                </c:pt>
                <c:pt idx="2">
                  <c:v>104</c:v>
                </c:pt>
                <c:pt idx="3">
                  <c:v>104</c:v>
                </c:pt>
                <c:pt idx="4">
                  <c:v>104</c:v>
                </c:pt>
                <c:pt idx="5">
                  <c:v>104</c:v>
                </c:pt>
                <c:pt idx="6">
                  <c:v>104</c:v>
                </c:pt>
                <c:pt idx="7">
                  <c:v>104</c:v>
                </c:pt>
                <c:pt idx="8">
                  <c:v>104</c:v>
                </c:pt>
                <c:pt idx="9">
                  <c:v>104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104</c:v>
                </c:pt>
                <c:pt idx="14">
                  <c:v>104</c:v>
                </c:pt>
                <c:pt idx="15">
                  <c:v>104</c:v>
                </c:pt>
                <c:pt idx="16">
                  <c:v>104</c:v>
                </c:pt>
                <c:pt idx="17">
                  <c:v>104</c:v>
                </c:pt>
                <c:pt idx="18">
                  <c:v>104</c:v>
                </c:pt>
                <c:pt idx="19">
                  <c:v>104</c:v>
                </c:pt>
                <c:pt idx="20">
                  <c:v>104</c:v>
                </c:pt>
                <c:pt idx="21">
                  <c:v>104</c:v>
                </c:pt>
                <c:pt idx="22">
                  <c:v>104</c:v>
                </c:pt>
                <c:pt idx="23">
                  <c:v>104</c:v>
                </c:pt>
                <c:pt idx="24">
                  <c:v>104</c:v>
                </c:pt>
                <c:pt idx="25">
                  <c:v>104</c:v>
                </c:pt>
                <c:pt idx="26">
                  <c:v>104</c:v>
                </c:pt>
                <c:pt idx="27">
                  <c:v>104</c:v>
                </c:pt>
                <c:pt idx="28">
                  <c:v>104</c:v>
                </c:pt>
                <c:pt idx="29">
                  <c:v>104</c:v>
                </c:pt>
                <c:pt idx="30">
                  <c:v>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D6-4A03-96C8-25D11D8CE1E3}"/>
            </c:ext>
          </c:extLst>
        </c:ser>
        <c:ser>
          <c:idx val="1"/>
          <c:order val="1"/>
          <c:tx>
            <c:strRef>
              <c:f>谋略伤害!$C$51</c:f>
              <c:strCache>
                <c:ptCount val="1"/>
                <c:pt idx="0">
                  <c:v>谋略基础伤害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谋略伤害!$A$52:$A$82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谋略伤害!$C$52:$C$82</c:f>
              <c:numCache>
                <c:formatCode>0</c:formatCode>
                <c:ptCount val="3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43</c:v>
                </c:pt>
                <c:pt idx="12">
                  <c:v>47</c:v>
                </c:pt>
                <c:pt idx="13">
                  <c:v>51</c:v>
                </c:pt>
                <c:pt idx="14">
                  <c:v>55</c:v>
                </c:pt>
                <c:pt idx="15">
                  <c:v>59</c:v>
                </c:pt>
                <c:pt idx="16">
                  <c:v>63</c:v>
                </c:pt>
                <c:pt idx="17">
                  <c:v>67</c:v>
                </c:pt>
                <c:pt idx="18">
                  <c:v>71</c:v>
                </c:pt>
                <c:pt idx="19">
                  <c:v>75</c:v>
                </c:pt>
                <c:pt idx="20">
                  <c:v>79</c:v>
                </c:pt>
                <c:pt idx="21">
                  <c:v>83</c:v>
                </c:pt>
                <c:pt idx="22">
                  <c:v>87</c:v>
                </c:pt>
                <c:pt idx="23">
                  <c:v>91</c:v>
                </c:pt>
                <c:pt idx="24">
                  <c:v>95</c:v>
                </c:pt>
                <c:pt idx="25">
                  <c:v>99</c:v>
                </c:pt>
                <c:pt idx="26">
                  <c:v>103</c:v>
                </c:pt>
                <c:pt idx="27">
                  <c:v>107</c:v>
                </c:pt>
                <c:pt idx="28">
                  <c:v>111</c:v>
                </c:pt>
                <c:pt idx="29">
                  <c:v>115</c:v>
                </c:pt>
                <c:pt idx="30">
                  <c:v>119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D6-4A03-96C8-25D11D8CE1E3}"/>
            </c:ext>
          </c:extLst>
        </c:ser>
        <c:ser>
          <c:idx val="2"/>
          <c:order val="2"/>
          <c:tx>
            <c:strRef>
              <c:f>谋略伤害!$D$51</c:f>
              <c:strCache>
                <c:ptCount val="1"/>
                <c:pt idx="0">
                  <c:v>主要伤害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谋略伤害!$A$52:$A$82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谋略伤害!$D$52:$D$82</c:f>
              <c:numCache>
                <c:formatCode>0</c:formatCode>
                <c:ptCount val="31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34</c:v>
                </c:pt>
                <c:pt idx="6">
                  <c:v>41</c:v>
                </c:pt>
                <c:pt idx="7">
                  <c:v>48</c:v>
                </c:pt>
                <c:pt idx="8">
                  <c:v>55</c:v>
                </c:pt>
                <c:pt idx="9">
                  <c:v>61</c:v>
                </c:pt>
                <c:pt idx="10">
                  <c:v>68</c:v>
                </c:pt>
                <c:pt idx="11">
                  <c:v>73</c:v>
                </c:pt>
                <c:pt idx="12">
                  <c:v>80</c:v>
                </c:pt>
                <c:pt idx="13">
                  <c:v>87</c:v>
                </c:pt>
                <c:pt idx="14">
                  <c:v>94</c:v>
                </c:pt>
                <c:pt idx="15">
                  <c:v>101</c:v>
                </c:pt>
                <c:pt idx="16">
                  <c:v>108</c:v>
                </c:pt>
                <c:pt idx="17">
                  <c:v>114</c:v>
                </c:pt>
                <c:pt idx="18">
                  <c:v>121</c:v>
                </c:pt>
                <c:pt idx="19">
                  <c:v>128</c:v>
                </c:pt>
                <c:pt idx="20">
                  <c:v>135</c:v>
                </c:pt>
                <c:pt idx="21">
                  <c:v>142</c:v>
                </c:pt>
                <c:pt idx="22">
                  <c:v>148</c:v>
                </c:pt>
                <c:pt idx="23">
                  <c:v>155</c:v>
                </c:pt>
                <c:pt idx="24">
                  <c:v>162</c:v>
                </c:pt>
                <c:pt idx="25">
                  <c:v>169</c:v>
                </c:pt>
                <c:pt idx="26">
                  <c:v>176</c:v>
                </c:pt>
                <c:pt idx="27">
                  <c:v>183</c:v>
                </c:pt>
                <c:pt idx="28">
                  <c:v>189</c:v>
                </c:pt>
                <c:pt idx="29">
                  <c:v>196</c:v>
                </c:pt>
                <c:pt idx="30">
                  <c:v>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AD6-4A03-96C8-25D11D8CE1E3}"/>
            </c:ext>
          </c:extLst>
        </c:ser>
        <c:ser>
          <c:idx val="3"/>
          <c:order val="3"/>
          <c:tx>
            <c:strRef>
              <c:f>谋略伤害!$E$51</c:f>
              <c:strCache>
                <c:ptCount val="1"/>
                <c:pt idx="0">
                  <c:v>总伤害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谋略伤害!$A$52:$A$82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谋略伤害!$E$52:$E$82</c:f>
              <c:numCache>
                <c:formatCode>0</c:formatCode>
                <c:ptCount val="31"/>
                <c:pt idx="0">
                  <c:v>104</c:v>
                </c:pt>
                <c:pt idx="1">
                  <c:v>115</c:v>
                </c:pt>
                <c:pt idx="2">
                  <c:v>126</c:v>
                </c:pt>
                <c:pt idx="3">
                  <c:v>136</c:v>
                </c:pt>
                <c:pt idx="4">
                  <c:v>147</c:v>
                </c:pt>
                <c:pt idx="5">
                  <c:v>158</c:v>
                </c:pt>
                <c:pt idx="6">
                  <c:v>169</c:v>
                </c:pt>
                <c:pt idx="7">
                  <c:v>180</c:v>
                </c:pt>
                <c:pt idx="8">
                  <c:v>191</c:v>
                </c:pt>
                <c:pt idx="9">
                  <c:v>201</c:v>
                </c:pt>
                <c:pt idx="10">
                  <c:v>212</c:v>
                </c:pt>
                <c:pt idx="11">
                  <c:v>220</c:v>
                </c:pt>
                <c:pt idx="12">
                  <c:v>231</c:v>
                </c:pt>
                <c:pt idx="13">
                  <c:v>242</c:v>
                </c:pt>
                <c:pt idx="14">
                  <c:v>253</c:v>
                </c:pt>
                <c:pt idx="15">
                  <c:v>264</c:v>
                </c:pt>
                <c:pt idx="16">
                  <c:v>275</c:v>
                </c:pt>
                <c:pt idx="17">
                  <c:v>285</c:v>
                </c:pt>
                <c:pt idx="18">
                  <c:v>296</c:v>
                </c:pt>
                <c:pt idx="19">
                  <c:v>307</c:v>
                </c:pt>
                <c:pt idx="20">
                  <c:v>318</c:v>
                </c:pt>
                <c:pt idx="21">
                  <c:v>329</c:v>
                </c:pt>
                <c:pt idx="22">
                  <c:v>339</c:v>
                </c:pt>
                <c:pt idx="23">
                  <c:v>350</c:v>
                </c:pt>
                <c:pt idx="24">
                  <c:v>361</c:v>
                </c:pt>
                <c:pt idx="25">
                  <c:v>372</c:v>
                </c:pt>
                <c:pt idx="26">
                  <c:v>383</c:v>
                </c:pt>
                <c:pt idx="27">
                  <c:v>394</c:v>
                </c:pt>
                <c:pt idx="28">
                  <c:v>404</c:v>
                </c:pt>
                <c:pt idx="29">
                  <c:v>415</c:v>
                </c:pt>
                <c:pt idx="30">
                  <c:v>426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AD6-4A03-96C8-25D11D8CE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施法者谋略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伤害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目标谋略减伤因子 vs 目标谋略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谋略伤害!$B$86</c:f>
              <c:strCache>
                <c:ptCount val="1"/>
                <c:pt idx="0">
                  <c:v>目标谋略减伤因子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谋略伤害!$A$87:$A$117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谋略伤害!$B$87:$B$117</c:f>
              <c:numCache>
                <c:formatCode>0.00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0.95</c:v>
                </c:pt>
                <c:pt idx="7">
                  <c:v>0.9</c:v>
                </c:pt>
                <c:pt idx="8">
                  <c:v>0.86</c:v>
                </c:pt>
                <c:pt idx="9">
                  <c:v>0.82</c:v>
                </c:pt>
                <c:pt idx="10">
                  <c:v>0.79</c:v>
                </c:pt>
                <c:pt idx="11">
                  <c:v>0.76</c:v>
                </c:pt>
                <c:pt idx="12">
                  <c:v>0.74</c:v>
                </c:pt>
                <c:pt idx="13">
                  <c:v>0.71</c:v>
                </c:pt>
                <c:pt idx="14">
                  <c:v>0.69</c:v>
                </c:pt>
                <c:pt idx="15">
                  <c:v>0.67</c:v>
                </c:pt>
                <c:pt idx="16">
                  <c:v>0.65</c:v>
                </c:pt>
                <c:pt idx="17">
                  <c:v>0.64</c:v>
                </c:pt>
                <c:pt idx="18">
                  <c:v>0.62</c:v>
                </c:pt>
                <c:pt idx="19">
                  <c:v>0.61</c:v>
                </c:pt>
                <c:pt idx="20">
                  <c:v>0.6</c:v>
                </c:pt>
                <c:pt idx="21">
                  <c:v>0.57999999999999996</c:v>
                </c:pt>
                <c:pt idx="22">
                  <c:v>0.56999999999999995</c:v>
                </c:pt>
                <c:pt idx="23">
                  <c:v>0.56000000000000005</c:v>
                </c:pt>
                <c:pt idx="24">
                  <c:v>0.55000000000000004</c:v>
                </c:pt>
                <c:pt idx="25">
                  <c:v>0.54</c:v>
                </c:pt>
                <c:pt idx="26">
                  <c:v>0.53</c:v>
                </c:pt>
                <c:pt idx="27">
                  <c:v>0.53</c:v>
                </c:pt>
                <c:pt idx="28">
                  <c:v>0.52</c:v>
                </c:pt>
                <c:pt idx="29">
                  <c:v>0.51</c:v>
                </c:pt>
                <c:pt idx="30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6F-4513-8829-A7287124E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目标谋略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减伤因子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谋略伤害 vs 施法者兵力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谋略伤害!$B$121</c:f>
              <c:strCache>
                <c:ptCount val="1"/>
                <c:pt idx="0">
                  <c:v>兵力基础伤害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谋略伤害!$A$122:$A$152</c:f>
              <c:numCache>
                <c:formatCode>General</c:formatCode>
                <c:ptCount val="3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</c:numCache>
            </c:numRef>
          </c:cat>
          <c:val>
            <c:numRef>
              <c:f>谋略伤害!$B$122:$B$152</c:f>
              <c:numCache>
                <c:formatCode>0</c:formatCode>
                <c:ptCount val="31"/>
                <c:pt idx="0">
                  <c:v>0</c:v>
                </c:pt>
                <c:pt idx="1">
                  <c:v>13</c:v>
                </c:pt>
                <c:pt idx="2">
                  <c:v>24</c:v>
                </c:pt>
                <c:pt idx="3">
                  <c:v>34</c:v>
                </c:pt>
                <c:pt idx="4">
                  <c:v>42</c:v>
                </c:pt>
                <c:pt idx="5">
                  <c:v>50</c:v>
                </c:pt>
                <c:pt idx="6">
                  <c:v>56</c:v>
                </c:pt>
                <c:pt idx="7">
                  <c:v>63</c:v>
                </c:pt>
                <c:pt idx="8">
                  <c:v>68</c:v>
                </c:pt>
                <c:pt idx="9">
                  <c:v>73</c:v>
                </c:pt>
                <c:pt idx="10">
                  <c:v>78</c:v>
                </c:pt>
                <c:pt idx="11">
                  <c:v>82</c:v>
                </c:pt>
                <c:pt idx="12">
                  <c:v>86</c:v>
                </c:pt>
                <c:pt idx="13">
                  <c:v>89</c:v>
                </c:pt>
                <c:pt idx="14">
                  <c:v>93</c:v>
                </c:pt>
                <c:pt idx="15">
                  <c:v>96</c:v>
                </c:pt>
                <c:pt idx="16">
                  <c:v>98</c:v>
                </c:pt>
                <c:pt idx="17">
                  <c:v>101</c:v>
                </c:pt>
                <c:pt idx="18">
                  <c:v>104</c:v>
                </c:pt>
                <c:pt idx="19">
                  <c:v>106</c:v>
                </c:pt>
                <c:pt idx="20">
                  <c:v>108</c:v>
                </c:pt>
                <c:pt idx="21">
                  <c:v>110</c:v>
                </c:pt>
                <c:pt idx="22">
                  <c:v>112</c:v>
                </c:pt>
                <c:pt idx="23">
                  <c:v>114</c:v>
                </c:pt>
                <c:pt idx="24">
                  <c:v>116</c:v>
                </c:pt>
                <c:pt idx="25">
                  <c:v>117</c:v>
                </c:pt>
                <c:pt idx="26">
                  <c:v>119</c:v>
                </c:pt>
                <c:pt idx="27">
                  <c:v>120</c:v>
                </c:pt>
                <c:pt idx="28">
                  <c:v>122</c:v>
                </c:pt>
                <c:pt idx="29">
                  <c:v>123</c:v>
                </c:pt>
                <c:pt idx="30">
                  <c:v>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ED-4AD2-9896-B8BE7E61F8A5}"/>
            </c:ext>
          </c:extLst>
        </c:ser>
        <c:ser>
          <c:idx val="1"/>
          <c:order val="1"/>
          <c:tx>
            <c:strRef>
              <c:f>谋略伤害!$C$121</c:f>
              <c:strCache>
                <c:ptCount val="1"/>
                <c:pt idx="0">
                  <c:v>谋略基础伤害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谋略伤害!$A$122:$A$152</c:f>
              <c:numCache>
                <c:formatCode>General</c:formatCode>
                <c:ptCount val="3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</c:numCache>
            </c:numRef>
          </c:cat>
          <c:val>
            <c:numRef>
              <c:f>谋略伤害!$C$122:$C$152</c:f>
              <c:numCache>
                <c:formatCode>0</c:formatCode>
                <c:ptCount val="31"/>
                <c:pt idx="0">
                  <c:v>79</c:v>
                </c:pt>
                <c:pt idx="1">
                  <c:v>79</c:v>
                </c:pt>
                <c:pt idx="2">
                  <c:v>79</c:v>
                </c:pt>
                <c:pt idx="3">
                  <c:v>79</c:v>
                </c:pt>
                <c:pt idx="4">
                  <c:v>79</c:v>
                </c:pt>
                <c:pt idx="5">
                  <c:v>79</c:v>
                </c:pt>
                <c:pt idx="6">
                  <c:v>79</c:v>
                </c:pt>
                <c:pt idx="7">
                  <c:v>79</c:v>
                </c:pt>
                <c:pt idx="8">
                  <c:v>79</c:v>
                </c:pt>
                <c:pt idx="9">
                  <c:v>79</c:v>
                </c:pt>
                <c:pt idx="10">
                  <c:v>79</c:v>
                </c:pt>
                <c:pt idx="11">
                  <c:v>79</c:v>
                </c:pt>
                <c:pt idx="12">
                  <c:v>79</c:v>
                </c:pt>
                <c:pt idx="13">
                  <c:v>79</c:v>
                </c:pt>
                <c:pt idx="14">
                  <c:v>79</c:v>
                </c:pt>
                <c:pt idx="15">
                  <c:v>79</c:v>
                </c:pt>
                <c:pt idx="16">
                  <c:v>79</c:v>
                </c:pt>
                <c:pt idx="17">
                  <c:v>79</c:v>
                </c:pt>
                <c:pt idx="18">
                  <c:v>79</c:v>
                </c:pt>
                <c:pt idx="19">
                  <c:v>79</c:v>
                </c:pt>
                <c:pt idx="20">
                  <c:v>79</c:v>
                </c:pt>
                <c:pt idx="21">
                  <c:v>79</c:v>
                </c:pt>
                <c:pt idx="22">
                  <c:v>79</c:v>
                </c:pt>
                <c:pt idx="23">
                  <c:v>79</c:v>
                </c:pt>
                <c:pt idx="24">
                  <c:v>79</c:v>
                </c:pt>
                <c:pt idx="25">
                  <c:v>79</c:v>
                </c:pt>
                <c:pt idx="26">
                  <c:v>79</c:v>
                </c:pt>
                <c:pt idx="27">
                  <c:v>79</c:v>
                </c:pt>
                <c:pt idx="28">
                  <c:v>79</c:v>
                </c:pt>
                <c:pt idx="29">
                  <c:v>79</c:v>
                </c:pt>
                <c:pt idx="30">
                  <c:v>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ED-4AD2-9896-B8BE7E61F8A5}"/>
            </c:ext>
          </c:extLst>
        </c:ser>
        <c:ser>
          <c:idx val="2"/>
          <c:order val="2"/>
          <c:tx>
            <c:strRef>
              <c:f>谋略伤害!$D$121</c:f>
              <c:strCache>
                <c:ptCount val="1"/>
                <c:pt idx="0">
                  <c:v>主要伤害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谋略伤害!$A$122:$A$152</c:f>
              <c:numCache>
                <c:formatCode>General</c:formatCode>
                <c:ptCount val="3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</c:numCache>
            </c:numRef>
          </c:cat>
          <c:val>
            <c:numRef>
              <c:f>谋略伤害!$D$122:$D$152</c:f>
              <c:numCache>
                <c:formatCode>0</c:formatCode>
                <c:ptCount val="31"/>
                <c:pt idx="0">
                  <c:v>0</c:v>
                </c:pt>
                <c:pt idx="1">
                  <c:v>126</c:v>
                </c:pt>
                <c:pt idx="2">
                  <c:v>224</c:v>
                </c:pt>
                <c:pt idx="3">
                  <c:v>302</c:v>
                </c:pt>
                <c:pt idx="4">
                  <c:v>366</c:v>
                </c:pt>
                <c:pt idx="5">
                  <c:v>420</c:v>
                </c:pt>
                <c:pt idx="6">
                  <c:v>465</c:v>
                </c:pt>
                <c:pt idx="7">
                  <c:v>504</c:v>
                </c:pt>
                <c:pt idx="8">
                  <c:v>537</c:v>
                </c:pt>
                <c:pt idx="9">
                  <c:v>567</c:v>
                </c:pt>
                <c:pt idx="10">
                  <c:v>593</c:v>
                </c:pt>
                <c:pt idx="11">
                  <c:v>616</c:v>
                </c:pt>
                <c:pt idx="12">
                  <c:v>636</c:v>
                </c:pt>
                <c:pt idx="13">
                  <c:v>655</c:v>
                </c:pt>
                <c:pt idx="14">
                  <c:v>672</c:v>
                </c:pt>
                <c:pt idx="15">
                  <c:v>687</c:v>
                </c:pt>
                <c:pt idx="16">
                  <c:v>701</c:v>
                </c:pt>
                <c:pt idx="17">
                  <c:v>713</c:v>
                </c:pt>
                <c:pt idx="18">
                  <c:v>725</c:v>
                </c:pt>
                <c:pt idx="19">
                  <c:v>736</c:v>
                </c:pt>
                <c:pt idx="20">
                  <c:v>746</c:v>
                </c:pt>
                <c:pt idx="21">
                  <c:v>755</c:v>
                </c:pt>
                <c:pt idx="22">
                  <c:v>764</c:v>
                </c:pt>
                <c:pt idx="23">
                  <c:v>772</c:v>
                </c:pt>
                <c:pt idx="24">
                  <c:v>780</c:v>
                </c:pt>
                <c:pt idx="25">
                  <c:v>787</c:v>
                </c:pt>
                <c:pt idx="26">
                  <c:v>794</c:v>
                </c:pt>
                <c:pt idx="27">
                  <c:v>800</c:v>
                </c:pt>
                <c:pt idx="28">
                  <c:v>806</c:v>
                </c:pt>
                <c:pt idx="29">
                  <c:v>811</c:v>
                </c:pt>
                <c:pt idx="30">
                  <c:v>817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7ED-4AD2-9896-B8BE7E61F8A5}"/>
            </c:ext>
          </c:extLst>
        </c:ser>
        <c:ser>
          <c:idx val="3"/>
          <c:order val="3"/>
          <c:tx>
            <c:strRef>
              <c:f>谋略伤害!$E$121</c:f>
              <c:strCache>
                <c:ptCount val="1"/>
                <c:pt idx="0">
                  <c:v>总伤害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谋略伤害!$A$122:$A$152</c:f>
              <c:numCache>
                <c:formatCode>General</c:formatCode>
                <c:ptCount val="3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</c:numCache>
            </c:numRef>
          </c:cat>
          <c:val>
            <c:numRef>
              <c:f>谋略伤害!$E$122:$E$152</c:f>
              <c:numCache>
                <c:formatCode>0</c:formatCode>
                <c:ptCount val="31"/>
                <c:pt idx="0">
                  <c:v>79</c:v>
                </c:pt>
                <c:pt idx="1">
                  <c:v>218</c:v>
                </c:pt>
                <c:pt idx="2">
                  <c:v>327</c:v>
                </c:pt>
                <c:pt idx="3">
                  <c:v>415</c:v>
                </c:pt>
                <c:pt idx="4">
                  <c:v>487</c:v>
                </c:pt>
                <c:pt idx="5">
                  <c:v>549</c:v>
                </c:pt>
                <c:pt idx="6">
                  <c:v>600</c:v>
                </c:pt>
                <c:pt idx="7">
                  <c:v>646</c:v>
                </c:pt>
                <c:pt idx="8">
                  <c:v>684</c:v>
                </c:pt>
                <c:pt idx="9">
                  <c:v>719</c:v>
                </c:pt>
                <c:pt idx="10">
                  <c:v>750</c:v>
                </c:pt>
                <c:pt idx="11">
                  <c:v>777</c:v>
                </c:pt>
                <c:pt idx="12">
                  <c:v>801</c:v>
                </c:pt>
                <c:pt idx="13">
                  <c:v>823</c:v>
                </c:pt>
                <c:pt idx="14">
                  <c:v>844</c:v>
                </c:pt>
                <c:pt idx="15">
                  <c:v>862</c:v>
                </c:pt>
                <c:pt idx="16">
                  <c:v>878</c:v>
                </c:pt>
                <c:pt idx="17">
                  <c:v>893</c:v>
                </c:pt>
                <c:pt idx="18">
                  <c:v>908</c:v>
                </c:pt>
                <c:pt idx="19">
                  <c:v>921</c:v>
                </c:pt>
                <c:pt idx="20">
                  <c:v>933</c:v>
                </c:pt>
                <c:pt idx="21">
                  <c:v>944</c:v>
                </c:pt>
                <c:pt idx="22">
                  <c:v>955</c:v>
                </c:pt>
                <c:pt idx="23">
                  <c:v>965</c:v>
                </c:pt>
                <c:pt idx="24">
                  <c:v>975</c:v>
                </c:pt>
                <c:pt idx="25">
                  <c:v>983</c:v>
                </c:pt>
                <c:pt idx="26">
                  <c:v>992</c:v>
                </c:pt>
                <c:pt idx="27">
                  <c:v>999</c:v>
                </c:pt>
                <c:pt idx="28">
                  <c:v>1007</c:v>
                </c:pt>
                <c:pt idx="29">
                  <c:v>1013</c:v>
                </c:pt>
                <c:pt idx="30">
                  <c:v>1020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7ED-4AD2-9896-B8BE7E61F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兵力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伤害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恢复率 vs 谋略（八舍九入后）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兵力恢复!$C$17</c:f>
              <c:strCache>
                <c:ptCount val="1"/>
                <c:pt idx="0">
                  <c:v>三军之众·恢复率(%)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兵力恢复!$A$18:$A$48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兵力恢复!$C$18:$C$48</c:f>
              <c:numCache>
                <c:formatCode>0</c:formatCode>
                <c:ptCount val="31"/>
                <c:pt idx="0">
                  <c:v>60</c:v>
                </c:pt>
                <c:pt idx="1">
                  <c:v>71</c:v>
                </c:pt>
                <c:pt idx="2">
                  <c:v>83</c:v>
                </c:pt>
                <c:pt idx="3">
                  <c:v>94</c:v>
                </c:pt>
                <c:pt idx="4">
                  <c:v>105</c:v>
                </c:pt>
                <c:pt idx="5">
                  <c:v>117</c:v>
                </c:pt>
                <c:pt idx="6">
                  <c:v>128</c:v>
                </c:pt>
                <c:pt idx="7">
                  <c:v>139</c:v>
                </c:pt>
                <c:pt idx="8">
                  <c:v>151</c:v>
                </c:pt>
                <c:pt idx="9">
                  <c:v>166</c:v>
                </c:pt>
                <c:pt idx="10">
                  <c:v>182</c:v>
                </c:pt>
                <c:pt idx="11">
                  <c:v>198</c:v>
                </c:pt>
                <c:pt idx="12">
                  <c:v>214</c:v>
                </c:pt>
                <c:pt idx="13">
                  <c:v>229</c:v>
                </c:pt>
                <c:pt idx="14">
                  <c:v>245</c:v>
                </c:pt>
                <c:pt idx="15">
                  <c:v>261</c:v>
                </c:pt>
                <c:pt idx="16">
                  <c:v>277</c:v>
                </c:pt>
                <c:pt idx="17">
                  <c:v>292</c:v>
                </c:pt>
                <c:pt idx="18">
                  <c:v>308</c:v>
                </c:pt>
                <c:pt idx="19">
                  <c:v>324</c:v>
                </c:pt>
                <c:pt idx="20">
                  <c:v>340</c:v>
                </c:pt>
                <c:pt idx="21">
                  <c:v>355</c:v>
                </c:pt>
                <c:pt idx="22">
                  <c:v>371</c:v>
                </c:pt>
                <c:pt idx="23">
                  <c:v>387</c:v>
                </c:pt>
                <c:pt idx="24">
                  <c:v>403</c:v>
                </c:pt>
                <c:pt idx="25">
                  <c:v>418</c:v>
                </c:pt>
                <c:pt idx="26">
                  <c:v>434</c:v>
                </c:pt>
                <c:pt idx="27">
                  <c:v>450</c:v>
                </c:pt>
                <c:pt idx="28">
                  <c:v>466</c:v>
                </c:pt>
                <c:pt idx="29">
                  <c:v>481</c:v>
                </c:pt>
                <c:pt idx="30">
                  <c:v>497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D4-4DEA-954A-00BFB1671A94}"/>
            </c:ext>
          </c:extLst>
        </c:ser>
        <c:ser>
          <c:idx val="1"/>
          <c:order val="1"/>
          <c:tx>
            <c:strRef>
              <c:f>兵力恢复!$E$17</c:f>
              <c:strCache>
                <c:ptCount val="1"/>
                <c:pt idx="0">
                  <c:v>皇裔流离·恢复率(%)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兵力恢复!$A$18:$A$48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兵力恢复!$E$18:$E$48</c:f>
              <c:numCache>
                <c:formatCode>0</c:formatCode>
                <c:ptCount val="31"/>
                <c:pt idx="0">
                  <c:v>27</c:v>
                </c:pt>
                <c:pt idx="1">
                  <c:v>32</c:v>
                </c:pt>
                <c:pt idx="2">
                  <c:v>37</c:v>
                </c:pt>
                <c:pt idx="3">
                  <c:v>42</c:v>
                </c:pt>
                <c:pt idx="4">
                  <c:v>47</c:v>
                </c:pt>
                <c:pt idx="5">
                  <c:v>52</c:v>
                </c:pt>
                <c:pt idx="6">
                  <c:v>57</c:v>
                </c:pt>
                <c:pt idx="7">
                  <c:v>62</c:v>
                </c:pt>
                <c:pt idx="8">
                  <c:v>68</c:v>
                </c:pt>
                <c:pt idx="9">
                  <c:v>74</c:v>
                </c:pt>
                <c:pt idx="10">
                  <c:v>80</c:v>
                </c:pt>
                <c:pt idx="11">
                  <c:v>86</c:v>
                </c:pt>
                <c:pt idx="12">
                  <c:v>92</c:v>
                </c:pt>
                <c:pt idx="13">
                  <c:v>98</c:v>
                </c:pt>
                <c:pt idx="14">
                  <c:v>104</c:v>
                </c:pt>
                <c:pt idx="15">
                  <c:v>110</c:v>
                </c:pt>
                <c:pt idx="16">
                  <c:v>116</c:v>
                </c:pt>
                <c:pt idx="17">
                  <c:v>122</c:v>
                </c:pt>
                <c:pt idx="18">
                  <c:v>128</c:v>
                </c:pt>
                <c:pt idx="19">
                  <c:v>134</c:v>
                </c:pt>
                <c:pt idx="20">
                  <c:v>140</c:v>
                </c:pt>
                <c:pt idx="21">
                  <c:v>146</c:v>
                </c:pt>
                <c:pt idx="22">
                  <c:v>152</c:v>
                </c:pt>
                <c:pt idx="23">
                  <c:v>158</c:v>
                </c:pt>
                <c:pt idx="24">
                  <c:v>164</c:v>
                </c:pt>
                <c:pt idx="25">
                  <c:v>170</c:v>
                </c:pt>
                <c:pt idx="26">
                  <c:v>176</c:v>
                </c:pt>
                <c:pt idx="27">
                  <c:v>182</c:v>
                </c:pt>
                <c:pt idx="28">
                  <c:v>188</c:v>
                </c:pt>
                <c:pt idx="29">
                  <c:v>194</c:v>
                </c:pt>
                <c:pt idx="30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D4-4DEA-954A-00BFB1671A94}"/>
            </c:ext>
          </c:extLst>
        </c:ser>
        <c:ser>
          <c:idx val="2"/>
          <c:order val="2"/>
          <c:tx>
            <c:strRef>
              <c:f>兵力恢复!$G$17</c:f>
              <c:strCache>
                <c:ptCount val="1"/>
                <c:pt idx="0">
                  <c:v>金匮要略·恢复率(%)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兵力恢复!$A$18:$A$48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兵力恢复!$G$18:$G$48</c:f>
              <c:numCache>
                <c:formatCode>0</c:formatCode>
                <c:ptCount val="31"/>
                <c:pt idx="0">
                  <c:v>32</c:v>
                </c:pt>
                <c:pt idx="1">
                  <c:v>38</c:v>
                </c:pt>
                <c:pt idx="2">
                  <c:v>44</c:v>
                </c:pt>
                <c:pt idx="3">
                  <c:v>50</c:v>
                </c:pt>
                <c:pt idx="4">
                  <c:v>56</c:v>
                </c:pt>
                <c:pt idx="5">
                  <c:v>62</c:v>
                </c:pt>
                <c:pt idx="6">
                  <c:v>68</c:v>
                </c:pt>
                <c:pt idx="7">
                  <c:v>74</c:v>
                </c:pt>
                <c:pt idx="8">
                  <c:v>80</c:v>
                </c:pt>
                <c:pt idx="9">
                  <c:v>87</c:v>
                </c:pt>
                <c:pt idx="10">
                  <c:v>95</c:v>
                </c:pt>
                <c:pt idx="11">
                  <c:v>102</c:v>
                </c:pt>
                <c:pt idx="12">
                  <c:v>110</c:v>
                </c:pt>
                <c:pt idx="13">
                  <c:v>117</c:v>
                </c:pt>
                <c:pt idx="14">
                  <c:v>125</c:v>
                </c:pt>
                <c:pt idx="15">
                  <c:v>132</c:v>
                </c:pt>
                <c:pt idx="16">
                  <c:v>140</c:v>
                </c:pt>
                <c:pt idx="17">
                  <c:v>147</c:v>
                </c:pt>
                <c:pt idx="18">
                  <c:v>155</c:v>
                </c:pt>
                <c:pt idx="19">
                  <c:v>162</c:v>
                </c:pt>
                <c:pt idx="20">
                  <c:v>170</c:v>
                </c:pt>
                <c:pt idx="21">
                  <c:v>177</c:v>
                </c:pt>
                <c:pt idx="22">
                  <c:v>185</c:v>
                </c:pt>
                <c:pt idx="23">
                  <c:v>192</c:v>
                </c:pt>
                <c:pt idx="24">
                  <c:v>200</c:v>
                </c:pt>
                <c:pt idx="25">
                  <c:v>207</c:v>
                </c:pt>
                <c:pt idx="26">
                  <c:v>215</c:v>
                </c:pt>
                <c:pt idx="27">
                  <c:v>222</c:v>
                </c:pt>
                <c:pt idx="28">
                  <c:v>230</c:v>
                </c:pt>
                <c:pt idx="29">
                  <c:v>237</c:v>
                </c:pt>
                <c:pt idx="30">
                  <c:v>245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7D4-4DEA-954A-00BFB1671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施法者谋略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恢复率(%)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恢复值 vs 谋略（施法者兵力 9000）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兵力恢复!$H$17</c:f>
              <c:strCache>
                <c:ptCount val="1"/>
                <c:pt idx="0">
                  <c:v>三军之众·恢复值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兵力恢复!$A$18:$A$48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兵力恢复!$H$18:$H$48</c:f>
              <c:numCache>
                <c:formatCode>0</c:formatCode>
                <c:ptCount val="31"/>
                <c:pt idx="0">
                  <c:v>129</c:v>
                </c:pt>
                <c:pt idx="1">
                  <c:v>153</c:v>
                </c:pt>
                <c:pt idx="2">
                  <c:v>179</c:v>
                </c:pt>
                <c:pt idx="3">
                  <c:v>203</c:v>
                </c:pt>
                <c:pt idx="4">
                  <c:v>226</c:v>
                </c:pt>
                <c:pt idx="5">
                  <c:v>252</c:v>
                </c:pt>
                <c:pt idx="6">
                  <c:v>276</c:v>
                </c:pt>
                <c:pt idx="7">
                  <c:v>300</c:v>
                </c:pt>
                <c:pt idx="8">
                  <c:v>326</c:v>
                </c:pt>
                <c:pt idx="9">
                  <c:v>358</c:v>
                </c:pt>
                <c:pt idx="10">
                  <c:v>393</c:v>
                </c:pt>
                <c:pt idx="11">
                  <c:v>427</c:v>
                </c:pt>
                <c:pt idx="12">
                  <c:v>462</c:v>
                </c:pt>
                <c:pt idx="13">
                  <c:v>494</c:v>
                </c:pt>
                <c:pt idx="14">
                  <c:v>529</c:v>
                </c:pt>
                <c:pt idx="15">
                  <c:v>563</c:v>
                </c:pt>
                <c:pt idx="16">
                  <c:v>598</c:v>
                </c:pt>
                <c:pt idx="17">
                  <c:v>630</c:v>
                </c:pt>
                <c:pt idx="18">
                  <c:v>665</c:v>
                </c:pt>
                <c:pt idx="19">
                  <c:v>699</c:v>
                </c:pt>
                <c:pt idx="20">
                  <c:v>734</c:v>
                </c:pt>
                <c:pt idx="21">
                  <c:v>766</c:v>
                </c:pt>
                <c:pt idx="22">
                  <c:v>801</c:v>
                </c:pt>
                <c:pt idx="23">
                  <c:v>835</c:v>
                </c:pt>
                <c:pt idx="24">
                  <c:v>870</c:v>
                </c:pt>
                <c:pt idx="25">
                  <c:v>902</c:v>
                </c:pt>
                <c:pt idx="26">
                  <c:v>937</c:v>
                </c:pt>
                <c:pt idx="27">
                  <c:v>972</c:v>
                </c:pt>
                <c:pt idx="28">
                  <c:v>1006</c:v>
                </c:pt>
                <c:pt idx="29">
                  <c:v>1038</c:v>
                </c:pt>
                <c:pt idx="30">
                  <c:v>1073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19-4EF7-AD40-40F67A994A61}"/>
            </c:ext>
          </c:extLst>
        </c:ser>
        <c:ser>
          <c:idx val="1"/>
          <c:order val="1"/>
          <c:tx>
            <c:strRef>
              <c:f>兵力恢复!$I$17</c:f>
              <c:strCache>
                <c:ptCount val="1"/>
                <c:pt idx="0">
                  <c:v>皇裔流离·恢复值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兵力恢复!$A$18:$A$48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兵力恢复!$I$18:$I$48</c:f>
              <c:numCache>
                <c:formatCode>0</c:formatCode>
                <c:ptCount val="31"/>
                <c:pt idx="0">
                  <c:v>58</c:v>
                </c:pt>
                <c:pt idx="1">
                  <c:v>69</c:v>
                </c:pt>
                <c:pt idx="2">
                  <c:v>79</c:v>
                </c:pt>
                <c:pt idx="3">
                  <c:v>90</c:v>
                </c:pt>
                <c:pt idx="4">
                  <c:v>101</c:v>
                </c:pt>
                <c:pt idx="5">
                  <c:v>112</c:v>
                </c:pt>
                <c:pt idx="6">
                  <c:v>123</c:v>
                </c:pt>
                <c:pt idx="7">
                  <c:v>133</c:v>
                </c:pt>
                <c:pt idx="8">
                  <c:v>146</c:v>
                </c:pt>
                <c:pt idx="9">
                  <c:v>159</c:v>
                </c:pt>
                <c:pt idx="10">
                  <c:v>172</c:v>
                </c:pt>
                <c:pt idx="11">
                  <c:v>185</c:v>
                </c:pt>
                <c:pt idx="12">
                  <c:v>198</c:v>
                </c:pt>
                <c:pt idx="13">
                  <c:v>211</c:v>
                </c:pt>
                <c:pt idx="14">
                  <c:v>224</c:v>
                </c:pt>
                <c:pt idx="15">
                  <c:v>237</c:v>
                </c:pt>
                <c:pt idx="16">
                  <c:v>250</c:v>
                </c:pt>
                <c:pt idx="17">
                  <c:v>263</c:v>
                </c:pt>
                <c:pt idx="18">
                  <c:v>276</c:v>
                </c:pt>
                <c:pt idx="19">
                  <c:v>289</c:v>
                </c:pt>
                <c:pt idx="20">
                  <c:v>302</c:v>
                </c:pt>
                <c:pt idx="21">
                  <c:v>315</c:v>
                </c:pt>
                <c:pt idx="22">
                  <c:v>328</c:v>
                </c:pt>
                <c:pt idx="23">
                  <c:v>341</c:v>
                </c:pt>
                <c:pt idx="24">
                  <c:v>354</c:v>
                </c:pt>
                <c:pt idx="25">
                  <c:v>367</c:v>
                </c:pt>
                <c:pt idx="26">
                  <c:v>380</c:v>
                </c:pt>
                <c:pt idx="27">
                  <c:v>393</c:v>
                </c:pt>
                <c:pt idx="28">
                  <c:v>406</c:v>
                </c:pt>
                <c:pt idx="29">
                  <c:v>419</c:v>
                </c:pt>
                <c:pt idx="30">
                  <c:v>432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19-4EF7-AD40-40F67A994A61}"/>
            </c:ext>
          </c:extLst>
        </c:ser>
        <c:ser>
          <c:idx val="2"/>
          <c:order val="2"/>
          <c:tx>
            <c:strRef>
              <c:f>兵力恢复!$J$17</c:f>
              <c:strCache>
                <c:ptCount val="1"/>
                <c:pt idx="0">
                  <c:v>金匮要略·恢复值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兵力恢复!$A$18:$A$48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兵力恢复!$J$18:$J$48</c:f>
              <c:numCache>
                <c:formatCode>0</c:formatCode>
                <c:ptCount val="31"/>
                <c:pt idx="0">
                  <c:v>69</c:v>
                </c:pt>
                <c:pt idx="1">
                  <c:v>82</c:v>
                </c:pt>
                <c:pt idx="2">
                  <c:v>95</c:v>
                </c:pt>
                <c:pt idx="3">
                  <c:v>108</c:v>
                </c:pt>
                <c:pt idx="4">
                  <c:v>120</c:v>
                </c:pt>
                <c:pt idx="5">
                  <c:v>133</c:v>
                </c:pt>
                <c:pt idx="6">
                  <c:v>146</c:v>
                </c:pt>
                <c:pt idx="7">
                  <c:v>159</c:v>
                </c:pt>
                <c:pt idx="8">
                  <c:v>172</c:v>
                </c:pt>
                <c:pt idx="9">
                  <c:v>187</c:v>
                </c:pt>
                <c:pt idx="10">
                  <c:v>205</c:v>
                </c:pt>
                <c:pt idx="11">
                  <c:v>220</c:v>
                </c:pt>
                <c:pt idx="12">
                  <c:v>237</c:v>
                </c:pt>
                <c:pt idx="13">
                  <c:v>252</c:v>
                </c:pt>
                <c:pt idx="14">
                  <c:v>270</c:v>
                </c:pt>
                <c:pt idx="15">
                  <c:v>285</c:v>
                </c:pt>
                <c:pt idx="16">
                  <c:v>302</c:v>
                </c:pt>
                <c:pt idx="17">
                  <c:v>317</c:v>
                </c:pt>
                <c:pt idx="18">
                  <c:v>334</c:v>
                </c:pt>
                <c:pt idx="19">
                  <c:v>349</c:v>
                </c:pt>
                <c:pt idx="20">
                  <c:v>367</c:v>
                </c:pt>
                <c:pt idx="21">
                  <c:v>382</c:v>
                </c:pt>
                <c:pt idx="22">
                  <c:v>399</c:v>
                </c:pt>
                <c:pt idx="23">
                  <c:v>414</c:v>
                </c:pt>
                <c:pt idx="24">
                  <c:v>432</c:v>
                </c:pt>
                <c:pt idx="25">
                  <c:v>447</c:v>
                </c:pt>
                <c:pt idx="26">
                  <c:v>464</c:v>
                </c:pt>
                <c:pt idx="27">
                  <c:v>479</c:v>
                </c:pt>
                <c:pt idx="28">
                  <c:v>496</c:v>
                </c:pt>
                <c:pt idx="29">
                  <c:v>511</c:v>
                </c:pt>
                <c:pt idx="30">
                  <c:v>529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319-4EF7-AD40-40F67A994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施法者谋略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恢复兵力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54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48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73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15</xdr:row>
      <xdr:rowOff>0</xdr:rowOff>
    </xdr:from>
    <xdr:ext cx="54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50</xdr:row>
      <xdr:rowOff>0</xdr:rowOff>
    </xdr:from>
    <xdr:ext cx="54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85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120</xdr:row>
      <xdr:rowOff>0</xdr:rowOff>
    </xdr:from>
    <xdr:ext cx="540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16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34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C26"/>
  <sheetViews>
    <sheetView tabSelected="1" workbookViewId="0"/>
  </sheetViews>
  <sheetFormatPr defaultRowHeight="13.5" x14ac:dyDescent="0.3"/>
  <cols>
    <col min="1" max="1" width="12" customWidth="1"/>
    <col min="2" max="2" width="95" customWidth="1"/>
  </cols>
  <sheetData>
    <row r="1" spans="1:3" ht="19.149999999999999" x14ac:dyDescent="0.45">
      <c r="A1" s="1" t="s">
        <v>0</v>
      </c>
    </row>
    <row r="2" spans="1:3" ht="15.75" x14ac:dyDescent="0.4">
      <c r="A2" s="2" t="s">
        <v>1</v>
      </c>
    </row>
    <row r="3" spans="1:3" x14ac:dyDescent="0.3">
      <c r="A3" s="3" t="s">
        <v>2</v>
      </c>
    </row>
    <row r="5" spans="1:3" ht="15.75" x14ac:dyDescent="0.4">
      <c r="A5" s="4" t="s">
        <v>3</v>
      </c>
    </row>
    <row r="6" spans="1:3" x14ac:dyDescent="0.3">
      <c r="A6" t="s">
        <v>4</v>
      </c>
    </row>
    <row r="7" spans="1:3" x14ac:dyDescent="0.3">
      <c r="A7" t="s">
        <v>5</v>
      </c>
    </row>
    <row r="8" spans="1:3" x14ac:dyDescent="0.3">
      <c r="A8" t="s">
        <v>6</v>
      </c>
    </row>
    <row r="9" spans="1:3" x14ac:dyDescent="0.3">
      <c r="A9" t="s">
        <v>7</v>
      </c>
    </row>
    <row r="10" spans="1:3" x14ac:dyDescent="0.3">
      <c r="A10" t="s">
        <v>8</v>
      </c>
    </row>
    <row r="12" spans="1:3" ht="15.75" x14ac:dyDescent="0.4">
      <c r="A12" s="4" t="s">
        <v>9</v>
      </c>
    </row>
    <row r="13" spans="1:3" x14ac:dyDescent="0.3">
      <c r="A13" s="5" t="s">
        <v>10</v>
      </c>
      <c r="B13" s="5" t="s">
        <v>11</v>
      </c>
      <c r="C13" s="5" t="s">
        <v>12</v>
      </c>
    </row>
    <row r="14" spans="1:3" x14ac:dyDescent="0.3">
      <c r="A14" s="6" t="s">
        <v>13</v>
      </c>
      <c r="B14" s="6" t="s">
        <v>14</v>
      </c>
      <c r="C14" s="6" t="s">
        <v>15</v>
      </c>
    </row>
    <row r="15" spans="1:3" x14ac:dyDescent="0.3">
      <c r="A15" s="6" t="s">
        <v>16</v>
      </c>
      <c r="B15" s="6" t="s">
        <v>17</v>
      </c>
      <c r="C15" s="6" t="s">
        <v>18</v>
      </c>
    </row>
    <row r="16" spans="1:3" x14ac:dyDescent="0.3">
      <c r="A16" s="6" t="s">
        <v>19</v>
      </c>
      <c r="B16" s="6" t="s">
        <v>20</v>
      </c>
      <c r="C16" s="6" t="s">
        <v>21</v>
      </c>
    </row>
    <row r="18" spans="1:1" ht="15.75" x14ac:dyDescent="0.4">
      <c r="A18" s="4" t="s">
        <v>22</v>
      </c>
    </row>
    <row r="19" spans="1:1" x14ac:dyDescent="0.3">
      <c r="A19" t="s">
        <v>23</v>
      </c>
    </row>
    <row r="20" spans="1:1" x14ac:dyDescent="0.3">
      <c r="A20" t="s">
        <v>24</v>
      </c>
    </row>
    <row r="21" spans="1:1" x14ac:dyDescent="0.3">
      <c r="A21" t="s">
        <v>25</v>
      </c>
    </row>
    <row r="22" spans="1:1" x14ac:dyDescent="0.3">
      <c r="A22" t="s">
        <v>26</v>
      </c>
    </row>
    <row r="23" spans="1:1" x14ac:dyDescent="0.3">
      <c r="A23" t="s">
        <v>27</v>
      </c>
    </row>
    <row r="24" spans="1:1" x14ac:dyDescent="0.3">
      <c r="A24" t="s">
        <v>28</v>
      </c>
    </row>
    <row r="25" spans="1:1" x14ac:dyDescent="0.3">
      <c r="A25" t="s">
        <v>29</v>
      </c>
    </row>
    <row r="26" spans="1:1" x14ac:dyDescent="0.3">
      <c r="A26" t="s">
        <v>30</v>
      </c>
    </row>
  </sheetData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F89"/>
  <sheetViews>
    <sheetView workbookViewId="0"/>
  </sheetViews>
  <sheetFormatPr defaultRowHeight="13.5" x14ac:dyDescent="0.3"/>
  <cols>
    <col min="1" max="1" width="12" customWidth="1"/>
    <col min="2" max="2" width="22" customWidth="1"/>
    <col min="3" max="5" width="16" customWidth="1"/>
    <col min="6" max="6" width="12" customWidth="1"/>
    <col min="7" max="9" width="4" customWidth="1"/>
  </cols>
  <sheetData>
    <row r="1" spans="1:5" ht="19.149999999999999" x14ac:dyDescent="0.45">
      <c r="A1" s="1" t="s">
        <v>31</v>
      </c>
    </row>
    <row r="2" spans="1:5" x14ac:dyDescent="0.3">
      <c r="A2" s="3" t="s">
        <v>32</v>
      </c>
    </row>
    <row r="4" spans="1:5" x14ac:dyDescent="0.3">
      <c r="B4" s="7" t="s">
        <v>33</v>
      </c>
      <c r="C4" s="8">
        <v>200</v>
      </c>
    </row>
    <row r="5" spans="1:5" x14ac:dyDescent="0.3">
      <c r="B5" s="7" t="s">
        <v>34</v>
      </c>
      <c r="C5" s="8">
        <v>150</v>
      </c>
    </row>
    <row r="6" spans="1:5" x14ac:dyDescent="0.3">
      <c r="B6" s="7" t="s">
        <v>35</v>
      </c>
      <c r="C6" s="8">
        <v>100</v>
      </c>
    </row>
    <row r="7" spans="1:5" x14ac:dyDescent="0.3">
      <c r="B7" s="7" t="s">
        <v>36</v>
      </c>
      <c r="C7" s="9">
        <v>0.34499999999999997</v>
      </c>
    </row>
    <row r="8" spans="1:5" x14ac:dyDescent="0.3">
      <c r="B8" s="7" t="s">
        <v>37</v>
      </c>
      <c r="C8" s="8">
        <v>0</v>
      </c>
    </row>
    <row r="9" spans="1:5" x14ac:dyDescent="0.3">
      <c r="B9" s="7" t="s">
        <v>38</v>
      </c>
      <c r="C9" s="8">
        <v>0</v>
      </c>
    </row>
    <row r="10" spans="1:5" x14ac:dyDescent="0.3">
      <c r="B10" s="7" t="s">
        <v>39</v>
      </c>
      <c r="C10" s="8">
        <v>9000</v>
      </c>
    </row>
    <row r="11" spans="1:5" x14ac:dyDescent="0.3">
      <c r="A11" s="3" t="s">
        <v>40</v>
      </c>
      <c r="B11" s="10" t="s">
        <v>41</v>
      </c>
      <c r="C11" s="11">
        <f>MAX(0.1,1+($C$8-$C$9)/100)</f>
        <v>1</v>
      </c>
    </row>
    <row r="13" spans="1:5" x14ac:dyDescent="0.3">
      <c r="A13" s="12" t="s">
        <v>42</v>
      </c>
    </row>
    <row r="14" spans="1:5" x14ac:dyDescent="0.3">
      <c r="A14" s="5" t="s">
        <v>43</v>
      </c>
      <c r="B14" s="5" t="s">
        <v>44</v>
      </c>
      <c r="C14" s="5" t="s">
        <v>45</v>
      </c>
      <c r="D14" s="5" t="s">
        <v>46</v>
      </c>
      <c r="E14" s="5" t="s">
        <v>47</v>
      </c>
    </row>
    <row r="15" spans="1:5" x14ac:dyDescent="0.3">
      <c r="A15" s="13">
        <v>0</v>
      </c>
      <c r="B15" s="14">
        <f t="shared" ref="B15:B45" si="0">ROUND(373*A15/(7700+A15),0)</f>
        <v>0</v>
      </c>
      <c r="C15" s="14">
        <f t="shared" ref="C15:C45" si="1">ROUND($C$4*$C$7*($C$6/100)*$C$11,0)</f>
        <v>69</v>
      </c>
      <c r="D15" s="14">
        <f t="shared" ref="D15:D45" si="2">ROUND(300*A15/(3500+A15)*($C$6/100)*ROUND(IF($C$4-$C$5&gt;=0,3-500/(250+($C$4-$C$5)),100/(100-($C$4-$C$5))),2)*$C$11,0)</f>
        <v>0</v>
      </c>
      <c r="E15" s="14">
        <f t="shared" ref="E15:E45" si="3">B15+C15+D15</f>
        <v>69</v>
      </c>
    </row>
    <row r="16" spans="1:5" x14ac:dyDescent="0.3">
      <c r="A16" s="13">
        <v>500</v>
      </c>
      <c r="B16" s="14">
        <f t="shared" si="0"/>
        <v>23</v>
      </c>
      <c r="C16" s="14">
        <f t="shared" si="1"/>
        <v>69</v>
      </c>
      <c r="D16" s="14">
        <f t="shared" si="2"/>
        <v>50</v>
      </c>
      <c r="E16" s="14">
        <f t="shared" si="3"/>
        <v>142</v>
      </c>
    </row>
    <row r="17" spans="1:5" x14ac:dyDescent="0.3">
      <c r="A17" s="13">
        <v>1000</v>
      </c>
      <c r="B17" s="14">
        <f t="shared" si="0"/>
        <v>43</v>
      </c>
      <c r="C17" s="14">
        <f t="shared" si="1"/>
        <v>69</v>
      </c>
      <c r="D17" s="14">
        <f t="shared" si="2"/>
        <v>89</v>
      </c>
      <c r="E17" s="14">
        <f t="shared" si="3"/>
        <v>201</v>
      </c>
    </row>
    <row r="18" spans="1:5" x14ac:dyDescent="0.3">
      <c r="A18" s="13">
        <v>1500</v>
      </c>
      <c r="B18" s="14">
        <f t="shared" si="0"/>
        <v>61</v>
      </c>
      <c r="C18" s="14">
        <f t="shared" si="1"/>
        <v>69</v>
      </c>
      <c r="D18" s="14">
        <f t="shared" si="2"/>
        <v>120</v>
      </c>
      <c r="E18" s="14">
        <f t="shared" si="3"/>
        <v>250</v>
      </c>
    </row>
    <row r="19" spans="1:5" x14ac:dyDescent="0.3">
      <c r="A19" s="13">
        <v>2000</v>
      </c>
      <c r="B19" s="14">
        <f t="shared" si="0"/>
        <v>77</v>
      </c>
      <c r="C19" s="14">
        <f t="shared" si="1"/>
        <v>69</v>
      </c>
      <c r="D19" s="14">
        <f t="shared" si="2"/>
        <v>145</v>
      </c>
      <c r="E19" s="14">
        <f t="shared" si="3"/>
        <v>291</v>
      </c>
    </row>
    <row r="20" spans="1:5" x14ac:dyDescent="0.3">
      <c r="A20" s="13">
        <v>2500</v>
      </c>
      <c r="B20" s="14">
        <f t="shared" si="0"/>
        <v>91</v>
      </c>
      <c r="C20" s="14">
        <f t="shared" si="1"/>
        <v>69</v>
      </c>
      <c r="D20" s="14">
        <f t="shared" si="2"/>
        <v>166</v>
      </c>
      <c r="E20" s="14">
        <f t="shared" si="3"/>
        <v>326</v>
      </c>
    </row>
    <row r="21" spans="1:5" x14ac:dyDescent="0.3">
      <c r="A21" s="13">
        <v>3000</v>
      </c>
      <c r="B21" s="14">
        <f t="shared" si="0"/>
        <v>105</v>
      </c>
      <c r="C21" s="14">
        <f t="shared" si="1"/>
        <v>69</v>
      </c>
      <c r="D21" s="14">
        <f t="shared" si="2"/>
        <v>184</v>
      </c>
      <c r="E21" s="14">
        <f t="shared" si="3"/>
        <v>358</v>
      </c>
    </row>
    <row r="22" spans="1:5" x14ac:dyDescent="0.3">
      <c r="A22" s="13">
        <v>3500</v>
      </c>
      <c r="B22" s="14">
        <f t="shared" si="0"/>
        <v>117</v>
      </c>
      <c r="C22" s="14">
        <f t="shared" si="1"/>
        <v>69</v>
      </c>
      <c r="D22" s="14">
        <f t="shared" si="2"/>
        <v>200</v>
      </c>
      <c r="E22" s="14">
        <f t="shared" si="3"/>
        <v>386</v>
      </c>
    </row>
    <row r="23" spans="1:5" x14ac:dyDescent="0.3">
      <c r="A23" s="13">
        <v>4000</v>
      </c>
      <c r="B23" s="14">
        <f t="shared" si="0"/>
        <v>128</v>
      </c>
      <c r="C23" s="14">
        <f t="shared" si="1"/>
        <v>69</v>
      </c>
      <c r="D23" s="14">
        <f t="shared" si="2"/>
        <v>213</v>
      </c>
      <c r="E23" s="14">
        <f t="shared" si="3"/>
        <v>410</v>
      </c>
    </row>
    <row r="24" spans="1:5" x14ac:dyDescent="0.3">
      <c r="A24" s="13">
        <v>4500</v>
      </c>
      <c r="B24" s="14">
        <f t="shared" si="0"/>
        <v>138</v>
      </c>
      <c r="C24" s="14">
        <f t="shared" si="1"/>
        <v>69</v>
      </c>
      <c r="D24" s="14">
        <f t="shared" si="2"/>
        <v>224</v>
      </c>
      <c r="E24" s="14">
        <f t="shared" si="3"/>
        <v>431</v>
      </c>
    </row>
    <row r="25" spans="1:5" x14ac:dyDescent="0.3">
      <c r="A25" s="13">
        <v>5000</v>
      </c>
      <c r="B25" s="14">
        <f t="shared" si="0"/>
        <v>147</v>
      </c>
      <c r="C25" s="14">
        <f t="shared" si="1"/>
        <v>69</v>
      </c>
      <c r="D25" s="14">
        <f t="shared" si="2"/>
        <v>235</v>
      </c>
      <c r="E25" s="14">
        <f t="shared" si="3"/>
        <v>451</v>
      </c>
    </row>
    <row r="26" spans="1:5" x14ac:dyDescent="0.3">
      <c r="A26" s="13">
        <v>5500</v>
      </c>
      <c r="B26" s="14">
        <f t="shared" si="0"/>
        <v>155</v>
      </c>
      <c r="C26" s="14">
        <f t="shared" si="1"/>
        <v>69</v>
      </c>
      <c r="D26" s="14">
        <f t="shared" si="2"/>
        <v>244</v>
      </c>
      <c r="E26" s="14">
        <f t="shared" si="3"/>
        <v>468</v>
      </c>
    </row>
    <row r="27" spans="1:5" x14ac:dyDescent="0.3">
      <c r="A27" s="13">
        <v>6000</v>
      </c>
      <c r="B27" s="14">
        <f t="shared" si="0"/>
        <v>163</v>
      </c>
      <c r="C27" s="14">
        <f t="shared" si="1"/>
        <v>69</v>
      </c>
      <c r="D27" s="14">
        <f t="shared" si="2"/>
        <v>252</v>
      </c>
      <c r="E27" s="14">
        <f t="shared" si="3"/>
        <v>484</v>
      </c>
    </row>
    <row r="28" spans="1:5" x14ac:dyDescent="0.3">
      <c r="A28" s="13">
        <v>6500</v>
      </c>
      <c r="B28" s="14">
        <f t="shared" si="0"/>
        <v>171</v>
      </c>
      <c r="C28" s="14">
        <f t="shared" si="1"/>
        <v>69</v>
      </c>
      <c r="D28" s="14">
        <f t="shared" si="2"/>
        <v>259</v>
      </c>
      <c r="E28" s="14">
        <f t="shared" si="3"/>
        <v>499</v>
      </c>
    </row>
    <row r="29" spans="1:5" x14ac:dyDescent="0.3">
      <c r="A29" s="13">
        <v>7000</v>
      </c>
      <c r="B29" s="14">
        <f t="shared" si="0"/>
        <v>178</v>
      </c>
      <c r="C29" s="14">
        <f t="shared" si="1"/>
        <v>69</v>
      </c>
      <c r="D29" s="14">
        <f t="shared" si="2"/>
        <v>266</v>
      </c>
      <c r="E29" s="14">
        <f t="shared" si="3"/>
        <v>513</v>
      </c>
    </row>
    <row r="30" spans="1:5" x14ac:dyDescent="0.3">
      <c r="A30" s="13">
        <v>7500</v>
      </c>
      <c r="B30" s="14">
        <f t="shared" si="0"/>
        <v>184</v>
      </c>
      <c r="C30" s="14">
        <f t="shared" si="1"/>
        <v>69</v>
      </c>
      <c r="D30" s="14">
        <f t="shared" si="2"/>
        <v>272</v>
      </c>
      <c r="E30" s="14">
        <f t="shared" si="3"/>
        <v>525</v>
      </c>
    </row>
    <row r="31" spans="1:5" x14ac:dyDescent="0.3">
      <c r="A31" s="13">
        <v>8000</v>
      </c>
      <c r="B31" s="14">
        <f t="shared" si="0"/>
        <v>190</v>
      </c>
      <c r="C31" s="14">
        <f t="shared" si="1"/>
        <v>69</v>
      </c>
      <c r="D31" s="14">
        <f t="shared" si="2"/>
        <v>278</v>
      </c>
      <c r="E31" s="14">
        <f t="shared" si="3"/>
        <v>537</v>
      </c>
    </row>
    <row r="32" spans="1:5" x14ac:dyDescent="0.3">
      <c r="A32" s="13">
        <v>8500</v>
      </c>
      <c r="B32" s="14">
        <f t="shared" si="0"/>
        <v>196</v>
      </c>
      <c r="C32" s="14">
        <f t="shared" si="1"/>
        <v>69</v>
      </c>
      <c r="D32" s="14">
        <f t="shared" si="2"/>
        <v>283</v>
      </c>
      <c r="E32" s="14">
        <f t="shared" si="3"/>
        <v>548</v>
      </c>
    </row>
    <row r="33" spans="1:5" x14ac:dyDescent="0.3">
      <c r="A33" s="13">
        <v>9000</v>
      </c>
      <c r="B33" s="14">
        <f t="shared" si="0"/>
        <v>201</v>
      </c>
      <c r="C33" s="14">
        <f t="shared" si="1"/>
        <v>69</v>
      </c>
      <c r="D33" s="14">
        <f t="shared" si="2"/>
        <v>287</v>
      </c>
      <c r="E33" s="14">
        <f t="shared" si="3"/>
        <v>557</v>
      </c>
    </row>
    <row r="34" spans="1:5" x14ac:dyDescent="0.3">
      <c r="A34" s="13">
        <v>9500</v>
      </c>
      <c r="B34" s="14">
        <f t="shared" si="0"/>
        <v>206</v>
      </c>
      <c r="C34" s="14">
        <f t="shared" si="1"/>
        <v>69</v>
      </c>
      <c r="D34" s="14">
        <f t="shared" si="2"/>
        <v>292</v>
      </c>
      <c r="E34" s="14">
        <f t="shared" si="3"/>
        <v>567</v>
      </c>
    </row>
    <row r="35" spans="1:5" x14ac:dyDescent="0.3">
      <c r="A35" s="13">
        <v>10000</v>
      </c>
      <c r="B35" s="14">
        <f t="shared" si="0"/>
        <v>211</v>
      </c>
      <c r="C35" s="14">
        <f t="shared" si="1"/>
        <v>69</v>
      </c>
      <c r="D35" s="14">
        <f t="shared" si="2"/>
        <v>296</v>
      </c>
      <c r="E35" s="14">
        <f t="shared" si="3"/>
        <v>576</v>
      </c>
    </row>
    <row r="36" spans="1:5" x14ac:dyDescent="0.3">
      <c r="A36" s="13">
        <v>10500</v>
      </c>
      <c r="B36" s="14">
        <f t="shared" si="0"/>
        <v>215</v>
      </c>
      <c r="C36" s="14">
        <f t="shared" si="1"/>
        <v>69</v>
      </c>
      <c r="D36" s="14">
        <f t="shared" si="2"/>
        <v>299</v>
      </c>
      <c r="E36" s="14">
        <f t="shared" si="3"/>
        <v>583</v>
      </c>
    </row>
    <row r="37" spans="1:5" x14ac:dyDescent="0.3">
      <c r="A37" s="13">
        <v>11000</v>
      </c>
      <c r="B37" s="14">
        <f t="shared" si="0"/>
        <v>219</v>
      </c>
      <c r="C37" s="14">
        <f t="shared" si="1"/>
        <v>69</v>
      </c>
      <c r="D37" s="14">
        <f t="shared" si="2"/>
        <v>303</v>
      </c>
      <c r="E37" s="14">
        <f t="shared" si="3"/>
        <v>591</v>
      </c>
    </row>
    <row r="38" spans="1:5" x14ac:dyDescent="0.3">
      <c r="A38" s="13">
        <v>11500</v>
      </c>
      <c r="B38" s="14">
        <f t="shared" si="0"/>
        <v>223</v>
      </c>
      <c r="C38" s="14">
        <f t="shared" si="1"/>
        <v>69</v>
      </c>
      <c r="D38" s="14">
        <f t="shared" si="2"/>
        <v>306</v>
      </c>
      <c r="E38" s="14">
        <f t="shared" si="3"/>
        <v>598</v>
      </c>
    </row>
    <row r="39" spans="1:5" x14ac:dyDescent="0.3">
      <c r="A39" s="13">
        <v>12000</v>
      </c>
      <c r="B39" s="14">
        <f t="shared" si="0"/>
        <v>227</v>
      </c>
      <c r="C39" s="14">
        <f t="shared" si="1"/>
        <v>69</v>
      </c>
      <c r="D39" s="14">
        <f t="shared" si="2"/>
        <v>309</v>
      </c>
      <c r="E39" s="14">
        <f t="shared" si="3"/>
        <v>605</v>
      </c>
    </row>
    <row r="40" spans="1:5" x14ac:dyDescent="0.3">
      <c r="A40" s="13">
        <v>12500</v>
      </c>
      <c r="B40" s="14">
        <f t="shared" si="0"/>
        <v>231</v>
      </c>
      <c r="C40" s="14">
        <f t="shared" si="1"/>
        <v>69</v>
      </c>
      <c r="D40" s="14">
        <f t="shared" si="2"/>
        <v>312</v>
      </c>
      <c r="E40" s="14">
        <f t="shared" si="3"/>
        <v>612</v>
      </c>
    </row>
    <row r="41" spans="1:5" x14ac:dyDescent="0.3">
      <c r="A41" s="13">
        <v>13000</v>
      </c>
      <c r="B41" s="14">
        <f t="shared" si="0"/>
        <v>234</v>
      </c>
      <c r="C41" s="14">
        <f t="shared" si="1"/>
        <v>69</v>
      </c>
      <c r="D41" s="14">
        <f t="shared" si="2"/>
        <v>314</v>
      </c>
      <c r="E41" s="14">
        <f t="shared" si="3"/>
        <v>617</v>
      </c>
    </row>
    <row r="42" spans="1:5" x14ac:dyDescent="0.3">
      <c r="A42" s="13">
        <v>13500</v>
      </c>
      <c r="B42" s="14">
        <f t="shared" si="0"/>
        <v>238</v>
      </c>
      <c r="C42" s="14">
        <f t="shared" si="1"/>
        <v>69</v>
      </c>
      <c r="D42" s="14">
        <f t="shared" si="2"/>
        <v>317</v>
      </c>
      <c r="E42" s="14">
        <f t="shared" si="3"/>
        <v>624</v>
      </c>
    </row>
    <row r="43" spans="1:5" x14ac:dyDescent="0.3">
      <c r="A43" s="13">
        <v>14000</v>
      </c>
      <c r="B43" s="14">
        <f t="shared" si="0"/>
        <v>241</v>
      </c>
      <c r="C43" s="14">
        <f t="shared" si="1"/>
        <v>69</v>
      </c>
      <c r="D43" s="14">
        <f t="shared" si="2"/>
        <v>319</v>
      </c>
      <c r="E43" s="14">
        <f t="shared" si="3"/>
        <v>629</v>
      </c>
    </row>
    <row r="44" spans="1:5" x14ac:dyDescent="0.3">
      <c r="A44" s="13">
        <v>14500</v>
      </c>
      <c r="B44" s="14">
        <f t="shared" si="0"/>
        <v>244</v>
      </c>
      <c r="C44" s="14">
        <f t="shared" si="1"/>
        <v>69</v>
      </c>
      <c r="D44" s="14">
        <f t="shared" si="2"/>
        <v>321</v>
      </c>
      <c r="E44" s="14">
        <f t="shared" si="3"/>
        <v>634</v>
      </c>
    </row>
    <row r="45" spans="1:5" x14ac:dyDescent="0.3">
      <c r="A45" s="13">
        <v>15000</v>
      </c>
      <c r="B45" s="14">
        <f t="shared" si="0"/>
        <v>246</v>
      </c>
      <c r="C45" s="14">
        <f t="shared" si="1"/>
        <v>69</v>
      </c>
      <c r="D45" s="14">
        <f t="shared" si="2"/>
        <v>324</v>
      </c>
      <c r="E45" s="14">
        <f t="shared" si="3"/>
        <v>639</v>
      </c>
    </row>
    <row r="47" spans="1:5" x14ac:dyDescent="0.3">
      <c r="A47" s="12" t="s">
        <v>48</v>
      </c>
    </row>
    <row r="49" spans="1:2" x14ac:dyDescent="0.3">
      <c r="A49" s="5" t="s">
        <v>49</v>
      </c>
      <c r="B49" s="5" t="s">
        <v>50</v>
      </c>
    </row>
    <row r="50" spans="1:2" x14ac:dyDescent="0.3">
      <c r="A50" s="13">
        <v>-200</v>
      </c>
      <c r="B50" s="11">
        <f t="shared" ref="B50:B70" si="4">ROUND(IF(A50&gt;=0,3-500/(250+A50),100/(100-A50)),2)</f>
        <v>0.33</v>
      </c>
    </row>
    <row r="51" spans="1:2" x14ac:dyDescent="0.3">
      <c r="A51" s="13">
        <v>-175</v>
      </c>
      <c r="B51" s="11">
        <f t="shared" si="4"/>
        <v>0.36</v>
      </c>
    </row>
    <row r="52" spans="1:2" x14ac:dyDescent="0.3">
      <c r="A52" s="13">
        <v>-150</v>
      </c>
      <c r="B52" s="11">
        <f t="shared" si="4"/>
        <v>0.4</v>
      </c>
    </row>
    <row r="53" spans="1:2" x14ac:dyDescent="0.3">
      <c r="A53" s="13">
        <v>-125</v>
      </c>
      <c r="B53" s="11">
        <f t="shared" si="4"/>
        <v>0.44</v>
      </c>
    </row>
    <row r="54" spans="1:2" x14ac:dyDescent="0.3">
      <c r="A54" s="13">
        <v>-100</v>
      </c>
      <c r="B54" s="11">
        <f t="shared" si="4"/>
        <v>0.5</v>
      </c>
    </row>
    <row r="55" spans="1:2" x14ac:dyDescent="0.3">
      <c r="A55" s="13">
        <v>-75</v>
      </c>
      <c r="B55" s="11">
        <f t="shared" si="4"/>
        <v>0.56999999999999995</v>
      </c>
    </row>
    <row r="56" spans="1:2" x14ac:dyDescent="0.3">
      <c r="A56" s="13">
        <v>-50</v>
      </c>
      <c r="B56" s="11">
        <f t="shared" si="4"/>
        <v>0.67</v>
      </c>
    </row>
    <row r="57" spans="1:2" x14ac:dyDescent="0.3">
      <c r="A57" s="13">
        <v>-25</v>
      </c>
      <c r="B57" s="11">
        <f t="shared" si="4"/>
        <v>0.8</v>
      </c>
    </row>
    <row r="58" spans="1:2" x14ac:dyDescent="0.3">
      <c r="A58" s="13">
        <v>0</v>
      </c>
      <c r="B58" s="11">
        <f t="shared" si="4"/>
        <v>1</v>
      </c>
    </row>
    <row r="59" spans="1:2" x14ac:dyDescent="0.3">
      <c r="A59" s="13">
        <v>25</v>
      </c>
      <c r="B59" s="11">
        <f t="shared" si="4"/>
        <v>1.18</v>
      </c>
    </row>
    <row r="60" spans="1:2" x14ac:dyDescent="0.3">
      <c r="A60" s="13">
        <v>50</v>
      </c>
      <c r="B60" s="11">
        <f t="shared" si="4"/>
        <v>1.33</v>
      </c>
    </row>
    <row r="61" spans="1:2" x14ac:dyDescent="0.3">
      <c r="A61" s="13">
        <v>75</v>
      </c>
      <c r="B61" s="11">
        <f t="shared" si="4"/>
        <v>1.46</v>
      </c>
    </row>
    <row r="62" spans="1:2" x14ac:dyDescent="0.3">
      <c r="A62" s="13">
        <v>100</v>
      </c>
      <c r="B62" s="11">
        <f t="shared" si="4"/>
        <v>1.57</v>
      </c>
    </row>
    <row r="63" spans="1:2" x14ac:dyDescent="0.3">
      <c r="A63" s="13">
        <v>125</v>
      </c>
      <c r="B63" s="11">
        <f t="shared" si="4"/>
        <v>1.67</v>
      </c>
    </row>
    <row r="64" spans="1:2" x14ac:dyDescent="0.3">
      <c r="A64" s="13">
        <v>150</v>
      </c>
      <c r="B64" s="11">
        <f t="shared" si="4"/>
        <v>1.75</v>
      </c>
    </row>
    <row r="65" spans="1:6" x14ac:dyDescent="0.3">
      <c r="A65" s="13">
        <v>175</v>
      </c>
      <c r="B65" s="11">
        <f t="shared" si="4"/>
        <v>1.82</v>
      </c>
    </row>
    <row r="66" spans="1:6" x14ac:dyDescent="0.3">
      <c r="A66" s="13">
        <v>200</v>
      </c>
      <c r="B66" s="11">
        <f t="shared" si="4"/>
        <v>1.89</v>
      </c>
    </row>
    <row r="67" spans="1:6" x14ac:dyDescent="0.3">
      <c r="A67" s="13">
        <v>225</v>
      </c>
      <c r="B67" s="11">
        <f t="shared" si="4"/>
        <v>1.95</v>
      </c>
    </row>
    <row r="68" spans="1:6" x14ac:dyDescent="0.3">
      <c r="A68" s="13">
        <v>250</v>
      </c>
      <c r="B68" s="11">
        <f t="shared" si="4"/>
        <v>2</v>
      </c>
    </row>
    <row r="69" spans="1:6" x14ac:dyDescent="0.3">
      <c r="A69" s="13">
        <v>275</v>
      </c>
      <c r="B69" s="11">
        <f t="shared" si="4"/>
        <v>2.0499999999999998</v>
      </c>
    </row>
    <row r="70" spans="1:6" x14ac:dyDescent="0.3">
      <c r="A70" s="13">
        <v>300</v>
      </c>
      <c r="B70" s="11">
        <f t="shared" si="4"/>
        <v>2.09</v>
      </c>
    </row>
    <row r="72" spans="1:6" x14ac:dyDescent="0.3">
      <c r="A72" s="12" t="s">
        <v>51</v>
      </c>
    </row>
    <row r="74" spans="1:6" x14ac:dyDescent="0.3">
      <c r="A74" s="5" t="s">
        <v>52</v>
      </c>
      <c r="B74" s="5" t="s">
        <v>49</v>
      </c>
      <c r="C74" s="5" t="s">
        <v>45</v>
      </c>
      <c r="D74" s="5" t="s">
        <v>46</v>
      </c>
      <c r="E74" s="5" t="s">
        <v>44</v>
      </c>
      <c r="F74" s="5" t="s">
        <v>47</v>
      </c>
    </row>
    <row r="75" spans="1:6" x14ac:dyDescent="0.3">
      <c r="A75" s="13">
        <v>50</v>
      </c>
      <c r="B75" s="14">
        <f t="shared" ref="B75:B89" si="5">A75-$C$5</f>
        <v>-100</v>
      </c>
      <c r="C75" s="14">
        <f t="shared" ref="C75:C89" si="6">ROUND(A75*$C$7*($C$6/100)*$C$11,0)</f>
        <v>17</v>
      </c>
      <c r="D75" s="14">
        <f t="shared" ref="D75:D89" si="7">ROUND(300*$C$10/(3500+$C$10)*($C$6/100)*ROUND(IF(B75&gt;=0,3-500/(250+B75),100/(100-B75)),2)*$C$11,0)</f>
        <v>108</v>
      </c>
      <c r="E75" s="14">
        <f t="shared" ref="E75:E89" si="8">ROUND(373*$C$10/(7700+$C$10),0)</f>
        <v>201</v>
      </c>
      <c r="F75" s="14">
        <f t="shared" ref="F75:F89" si="9">C75+D75+E75</f>
        <v>326</v>
      </c>
    </row>
    <row r="76" spans="1:6" x14ac:dyDescent="0.3">
      <c r="A76" s="13">
        <v>75</v>
      </c>
      <c r="B76" s="14">
        <f t="shared" si="5"/>
        <v>-75</v>
      </c>
      <c r="C76" s="14">
        <f t="shared" si="6"/>
        <v>26</v>
      </c>
      <c r="D76" s="14">
        <f t="shared" si="7"/>
        <v>123</v>
      </c>
      <c r="E76" s="14">
        <f t="shared" si="8"/>
        <v>201</v>
      </c>
      <c r="F76" s="14">
        <f t="shared" si="9"/>
        <v>350</v>
      </c>
    </row>
    <row r="77" spans="1:6" x14ac:dyDescent="0.3">
      <c r="A77" s="13">
        <v>100</v>
      </c>
      <c r="B77" s="14">
        <f t="shared" si="5"/>
        <v>-50</v>
      </c>
      <c r="C77" s="14">
        <f t="shared" si="6"/>
        <v>35</v>
      </c>
      <c r="D77" s="14">
        <f t="shared" si="7"/>
        <v>145</v>
      </c>
      <c r="E77" s="14">
        <f t="shared" si="8"/>
        <v>201</v>
      </c>
      <c r="F77" s="14">
        <f t="shared" si="9"/>
        <v>381</v>
      </c>
    </row>
    <row r="78" spans="1:6" x14ac:dyDescent="0.3">
      <c r="A78" s="13">
        <v>125</v>
      </c>
      <c r="B78" s="14">
        <f t="shared" si="5"/>
        <v>-25</v>
      </c>
      <c r="C78" s="14">
        <f t="shared" si="6"/>
        <v>43</v>
      </c>
      <c r="D78" s="14">
        <f t="shared" si="7"/>
        <v>173</v>
      </c>
      <c r="E78" s="14">
        <f t="shared" si="8"/>
        <v>201</v>
      </c>
      <c r="F78" s="14">
        <f t="shared" si="9"/>
        <v>417</v>
      </c>
    </row>
    <row r="79" spans="1:6" x14ac:dyDescent="0.3">
      <c r="A79" s="13">
        <v>150</v>
      </c>
      <c r="B79" s="14">
        <f t="shared" si="5"/>
        <v>0</v>
      </c>
      <c r="C79" s="14">
        <f t="shared" si="6"/>
        <v>52</v>
      </c>
      <c r="D79" s="14">
        <f t="shared" si="7"/>
        <v>216</v>
      </c>
      <c r="E79" s="14">
        <f t="shared" si="8"/>
        <v>201</v>
      </c>
      <c r="F79" s="14">
        <f t="shared" si="9"/>
        <v>469</v>
      </c>
    </row>
    <row r="80" spans="1:6" x14ac:dyDescent="0.3">
      <c r="A80" s="13">
        <v>175</v>
      </c>
      <c r="B80" s="14">
        <f t="shared" si="5"/>
        <v>25</v>
      </c>
      <c r="C80" s="14">
        <f t="shared" si="6"/>
        <v>60</v>
      </c>
      <c r="D80" s="14">
        <f t="shared" si="7"/>
        <v>255</v>
      </c>
      <c r="E80" s="14">
        <f t="shared" si="8"/>
        <v>201</v>
      </c>
      <c r="F80" s="14">
        <f t="shared" si="9"/>
        <v>516</v>
      </c>
    </row>
    <row r="81" spans="1:6" x14ac:dyDescent="0.3">
      <c r="A81" s="13">
        <v>200</v>
      </c>
      <c r="B81" s="14">
        <f t="shared" si="5"/>
        <v>50</v>
      </c>
      <c r="C81" s="14">
        <f t="shared" si="6"/>
        <v>69</v>
      </c>
      <c r="D81" s="14">
        <f t="shared" si="7"/>
        <v>287</v>
      </c>
      <c r="E81" s="14">
        <f t="shared" si="8"/>
        <v>201</v>
      </c>
      <c r="F81" s="14">
        <f t="shared" si="9"/>
        <v>557</v>
      </c>
    </row>
    <row r="82" spans="1:6" x14ac:dyDescent="0.3">
      <c r="A82" s="13">
        <v>225</v>
      </c>
      <c r="B82" s="14">
        <f t="shared" si="5"/>
        <v>75</v>
      </c>
      <c r="C82" s="14">
        <f t="shared" si="6"/>
        <v>78</v>
      </c>
      <c r="D82" s="14">
        <f t="shared" si="7"/>
        <v>315</v>
      </c>
      <c r="E82" s="14">
        <f t="shared" si="8"/>
        <v>201</v>
      </c>
      <c r="F82" s="14">
        <f t="shared" si="9"/>
        <v>594</v>
      </c>
    </row>
    <row r="83" spans="1:6" x14ac:dyDescent="0.3">
      <c r="A83" s="13">
        <v>250</v>
      </c>
      <c r="B83" s="14">
        <f t="shared" si="5"/>
        <v>100</v>
      </c>
      <c r="C83" s="14">
        <f t="shared" si="6"/>
        <v>86</v>
      </c>
      <c r="D83" s="14">
        <f t="shared" si="7"/>
        <v>339</v>
      </c>
      <c r="E83" s="14">
        <f t="shared" si="8"/>
        <v>201</v>
      </c>
      <c r="F83" s="14">
        <f t="shared" si="9"/>
        <v>626</v>
      </c>
    </row>
    <row r="84" spans="1:6" x14ac:dyDescent="0.3">
      <c r="A84" s="13">
        <v>275</v>
      </c>
      <c r="B84" s="14">
        <f t="shared" si="5"/>
        <v>125</v>
      </c>
      <c r="C84" s="14">
        <f t="shared" si="6"/>
        <v>95</v>
      </c>
      <c r="D84" s="14">
        <f t="shared" si="7"/>
        <v>361</v>
      </c>
      <c r="E84" s="14">
        <f t="shared" si="8"/>
        <v>201</v>
      </c>
      <c r="F84" s="14">
        <f t="shared" si="9"/>
        <v>657</v>
      </c>
    </row>
    <row r="85" spans="1:6" x14ac:dyDescent="0.3">
      <c r="A85" s="13">
        <v>300</v>
      </c>
      <c r="B85" s="14">
        <f t="shared" si="5"/>
        <v>150</v>
      </c>
      <c r="C85" s="14">
        <f t="shared" si="6"/>
        <v>104</v>
      </c>
      <c r="D85" s="14">
        <f t="shared" si="7"/>
        <v>378</v>
      </c>
      <c r="E85" s="14">
        <f t="shared" si="8"/>
        <v>201</v>
      </c>
      <c r="F85" s="14">
        <f t="shared" si="9"/>
        <v>683</v>
      </c>
    </row>
    <row r="86" spans="1:6" x14ac:dyDescent="0.3">
      <c r="A86" s="13">
        <v>325</v>
      </c>
      <c r="B86" s="14">
        <f t="shared" si="5"/>
        <v>175</v>
      </c>
      <c r="C86" s="14">
        <f t="shared" si="6"/>
        <v>112</v>
      </c>
      <c r="D86" s="14">
        <f t="shared" si="7"/>
        <v>393</v>
      </c>
      <c r="E86" s="14">
        <f t="shared" si="8"/>
        <v>201</v>
      </c>
      <c r="F86" s="14">
        <f t="shared" si="9"/>
        <v>706</v>
      </c>
    </row>
    <row r="87" spans="1:6" x14ac:dyDescent="0.3">
      <c r="A87" s="13">
        <v>350</v>
      </c>
      <c r="B87" s="14">
        <f t="shared" si="5"/>
        <v>200</v>
      </c>
      <c r="C87" s="14">
        <f t="shared" si="6"/>
        <v>121</v>
      </c>
      <c r="D87" s="14">
        <f t="shared" si="7"/>
        <v>408</v>
      </c>
      <c r="E87" s="14">
        <f t="shared" si="8"/>
        <v>201</v>
      </c>
      <c r="F87" s="14">
        <f t="shared" si="9"/>
        <v>730</v>
      </c>
    </row>
    <row r="88" spans="1:6" x14ac:dyDescent="0.3">
      <c r="A88" s="13">
        <v>375</v>
      </c>
      <c r="B88" s="14">
        <f t="shared" si="5"/>
        <v>225</v>
      </c>
      <c r="C88" s="14">
        <f t="shared" si="6"/>
        <v>129</v>
      </c>
      <c r="D88" s="14">
        <f t="shared" si="7"/>
        <v>421</v>
      </c>
      <c r="E88" s="14">
        <f t="shared" si="8"/>
        <v>201</v>
      </c>
      <c r="F88" s="14">
        <f t="shared" si="9"/>
        <v>751</v>
      </c>
    </row>
    <row r="89" spans="1:6" x14ac:dyDescent="0.3">
      <c r="A89" s="13">
        <v>400</v>
      </c>
      <c r="B89" s="14">
        <f t="shared" si="5"/>
        <v>250</v>
      </c>
      <c r="C89" s="14">
        <f t="shared" si="6"/>
        <v>138</v>
      </c>
      <c r="D89" s="14">
        <f t="shared" si="7"/>
        <v>432</v>
      </c>
      <c r="E89" s="14">
        <f t="shared" si="8"/>
        <v>201</v>
      </c>
      <c r="F89" s="14">
        <f t="shared" si="9"/>
        <v>771</v>
      </c>
    </row>
  </sheetData>
  <phoneticPr fontId="13" type="noConversion"/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E152"/>
  <sheetViews>
    <sheetView workbookViewId="0"/>
  </sheetViews>
  <sheetFormatPr defaultRowHeight="13.5" x14ac:dyDescent="0.3"/>
  <cols>
    <col min="1" max="1" width="12" customWidth="1"/>
    <col min="2" max="2" width="18" customWidth="1"/>
    <col min="3" max="5" width="16" customWidth="1"/>
    <col min="6" max="6" width="12" customWidth="1"/>
    <col min="7" max="9" width="4" customWidth="1"/>
  </cols>
  <sheetData>
    <row r="1" spans="1:3" ht="19.149999999999999" x14ac:dyDescent="0.45">
      <c r="A1" s="1" t="s">
        <v>53</v>
      </c>
    </row>
    <row r="2" spans="1:3" x14ac:dyDescent="0.3">
      <c r="A2" s="3" t="s">
        <v>54</v>
      </c>
    </row>
    <row r="4" spans="1:3" x14ac:dyDescent="0.3">
      <c r="B4" s="7" t="s">
        <v>55</v>
      </c>
      <c r="C4" s="8">
        <v>200</v>
      </c>
    </row>
    <row r="5" spans="1:3" x14ac:dyDescent="0.3">
      <c r="B5" s="7" t="s">
        <v>56</v>
      </c>
      <c r="C5" s="8">
        <v>100</v>
      </c>
    </row>
    <row r="6" spans="1:3" x14ac:dyDescent="0.3">
      <c r="B6" s="7" t="s">
        <v>57</v>
      </c>
      <c r="C6" s="8">
        <v>194</v>
      </c>
    </row>
    <row r="7" spans="1:3" x14ac:dyDescent="0.3">
      <c r="B7" s="7" t="s">
        <v>58</v>
      </c>
      <c r="C7" s="9">
        <v>1.925</v>
      </c>
    </row>
    <row r="8" spans="1:3" x14ac:dyDescent="0.3">
      <c r="B8" s="7" t="s">
        <v>59</v>
      </c>
      <c r="C8" s="8">
        <v>9000</v>
      </c>
    </row>
    <row r="9" spans="1:3" x14ac:dyDescent="0.3">
      <c r="B9" s="7" t="s">
        <v>37</v>
      </c>
      <c r="C9" s="8">
        <v>0</v>
      </c>
    </row>
    <row r="10" spans="1:3" x14ac:dyDescent="0.3">
      <c r="B10" s="7" t="s">
        <v>38</v>
      </c>
      <c r="C10" s="8">
        <v>0</v>
      </c>
    </row>
    <row r="11" spans="1:3" x14ac:dyDescent="0.3">
      <c r="B11" s="10" t="s">
        <v>60</v>
      </c>
      <c r="C11" s="11">
        <f>IF(C4&gt;=80,C6+C7*(C4-80),C6*0.4+C6*0.6*(C4/80))</f>
        <v>425</v>
      </c>
    </row>
    <row r="12" spans="1:3" x14ac:dyDescent="0.3">
      <c r="B12" s="10" t="s">
        <v>61</v>
      </c>
      <c r="C12" s="14">
        <f>INT(C11)+IF(C11-INT(C11)&gt;=0.9,1,0)</f>
        <v>425</v>
      </c>
    </row>
    <row r="13" spans="1:3" x14ac:dyDescent="0.3">
      <c r="B13" s="10" t="s">
        <v>41</v>
      </c>
      <c r="C13" s="11">
        <f>MAX(0.1,1+($C$9-$C$10)/100)</f>
        <v>1</v>
      </c>
    </row>
    <row r="14" spans="1:3" x14ac:dyDescent="0.3">
      <c r="A14" s="15" t="s">
        <v>62</v>
      </c>
    </row>
    <row r="16" spans="1:3" ht="27" x14ac:dyDescent="0.3">
      <c r="A16" s="16" t="s">
        <v>55</v>
      </c>
      <c r="B16" s="16" t="s">
        <v>63</v>
      </c>
      <c r="C16" s="16" t="s">
        <v>64</v>
      </c>
    </row>
    <row r="17" spans="1:3" x14ac:dyDescent="0.3">
      <c r="A17" s="13">
        <v>0</v>
      </c>
      <c r="B17" s="17">
        <f t="shared" ref="B17:B47" si="0">IF(A17&gt;=80,$C$6+$C$7*(A17-80),$C$6*0.4+$C$6*0.6*(A17/80))</f>
        <v>77.600000000000009</v>
      </c>
      <c r="C17" s="14">
        <f t="shared" ref="C17:C47" si="1">INT(B17)+IF(B17-INT(B17)&gt;=0.9,1,0)</f>
        <v>77</v>
      </c>
    </row>
    <row r="18" spans="1:3" x14ac:dyDescent="0.3">
      <c r="A18" s="13">
        <v>10</v>
      </c>
      <c r="B18" s="17">
        <f t="shared" si="0"/>
        <v>92.15</v>
      </c>
      <c r="C18" s="14">
        <f t="shared" si="1"/>
        <v>92</v>
      </c>
    </row>
    <row r="19" spans="1:3" x14ac:dyDescent="0.3">
      <c r="A19" s="13">
        <v>20</v>
      </c>
      <c r="B19" s="17">
        <f t="shared" si="0"/>
        <v>106.7</v>
      </c>
      <c r="C19" s="14">
        <f t="shared" si="1"/>
        <v>106</v>
      </c>
    </row>
    <row r="20" spans="1:3" x14ac:dyDescent="0.3">
      <c r="A20" s="13">
        <v>30</v>
      </c>
      <c r="B20" s="17">
        <f t="shared" si="0"/>
        <v>121.25</v>
      </c>
      <c r="C20" s="14">
        <f t="shared" si="1"/>
        <v>121</v>
      </c>
    </row>
    <row r="21" spans="1:3" x14ac:dyDescent="0.3">
      <c r="A21" s="13">
        <v>40</v>
      </c>
      <c r="B21" s="17">
        <f t="shared" si="0"/>
        <v>135.80000000000001</v>
      </c>
      <c r="C21" s="14">
        <f t="shared" si="1"/>
        <v>135</v>
      </c>
    </row>
    <row r="22" spans="1:3" x14ac:dyDescent="0.3">
      <c r="A22" s="13">
        <v>50</v>
      </c>
      <c r="B22" s="17">
        <f t="shared" si="0"/>
        <v>150.35000000000002</v>
      </c>
      <c r="C22" s="14">
        <f t="shared" si="1"/>
        <v>150</v>
      </c>
    </row>
    <row r="23" spans="1:3" x14ac:dyDescent="0.3">
      <c r="A23" s="13">
        <v>60</v>
      </c>
      <c r="B23" s="17">
        <f t="shared" si="0"/>
        <v>164.9</v>
      </c>
      <c r="C23" s="14">
        <f t="shared" si="1"/>
        <v>165</v>
      </c>
    </row>
    <row r="24" spans="1:3" x14ac:dyDescent="0.3">
      <c r="A24" s="13">
        <v>70</v>
      </c>
      <c r="B24" s="17">
        <f t="shared" si="0"/>
        <v>179.45</v>
      </c>
      <c r="C24" s="14">
        <f t="shared" si="1"/>
        <v>179</v>
      </c>
    </row>
    <row r="25" spans="1:3" x14ac:dyDescent="0.3">
      <c r="A25" s="13">
        <v>80</v>
      </c>
      <c r="B25" s="17">
        <f t="shared" si="0"/>
        <v>194</v>
      </c>
      <c r="C25" s="14">
        <f t="shared" si="1"/>
        <v>194</v>
      </c>
    </row>
    <row r="26" spans="1:3" x14ac:dyDescent="0.3">
      <c r="A26" s="13">
        <v>90</v>
      </c>
      <c r="B26" s="17">
        <f t="shared" si="0"/>
        <v>213.25</v>
      </c>
      <c r="C26" s="14">
        <f t="shared" si="1"/>
        <v>213</v>
      </c>
    </row>
    <row r="27" spans="1:3" x14ac:dyDescent="0.3">
      <c r="A27" s="13">
        <v>100</v>
      </c>
      <c r="B27" s="17">
        <f t="shared" si="0"/>
        <v>232.5</v>
      </c>
      <c r="C27" s="14">
        <f t="shared" si="1"/>
        <v>232</v>
      </c>
    </row>
    <row r="28" spans="1:3" x14ac:dyDescent="0.3">
      <c r="A28" s="13">
        <v>110</v>
      </c>
      <c r="B28" s="17">
        <f t="shared" si="0"/>
        <v>251.75</v>
      </c>
      <c r="C28" s="14">
        <f t="shared" si="1"/>
        <v>251</v>
      </c>
    </row>
    <row r="29" spans="1:3" x14ac:dyDescent="0.3">
      <c r="A29" s="13">
        <v>120</v>
      </c>
      <c r="B29" s="17">
        <f t="shared" si="0"/>
        <v>271</v>
      </c>
      <c r="C29" s="14">
        <f t="shared" si="1"/>
        <v>271</v>
      </c>
    </row>
    <row r="30" spans="1:3" x14ac:dyDescent="0.3">
      <c r="A30" s="13">
        <v>130</v>
      </c>
      <c r="B30" s="17">
        <f t="shared" si="0"/>
        <v>290.25</v>
      </c>
      <c r="C30" s="14">
        <f t="shared" si="1"/>
        <v>290</v>
      </c>
    </row>
    <row r="31" spans="1:3" x14ac:dyDescent="0.3">
      <c r="A31" s="13">
        <v>140</v>
      </c>
      <c r="B31" s="17">
        <f t="shared" si="0"/>
        <v>309.5</v>
      </c>
      <c r="C31" s="14">
        <f t="shared" si="1"/>
        <v>309</v>
      </c>
    </row>
    <row r="32" spans="1:3" x14ac:dyDescent="0.3">
      <c r="A32" s="13">
        <v>150</v>
      </c>
      <c r="B32" s="17">
        <f t="shared" si="0"/>
        <v>328.75</v>
      </c>
      <c r="C32" s="14">
        <f t="shared" si="1"/>
        <v>328</v>
      </c>
    </row>
    <row r="33" spans="1:3" x14ac:dyDescent="0.3">
      <c r="A33" s="13">
        <v>160</v>
      </c>
      <c r="B33" s="17">
        <f t="shared" si="0"/>
        <v>348</v>
      </c>
      <c r="C33" s="14">
        <f t="shared" si="1"/>
        <v>348</v>
      </c>
    </row>
    <row r="34" spans="1:3" x14ac:dyDescent="0.3">
      <c r="A34" s="13">
        <v>170</v>
      </c>
      <c r="B34" s="17">
        <f t="shared" si="0"/>
        <v>367.25</v>
      </c>
      <c r="C34" s="14">
        <f t="shared" si="1"/>
        <v>367</v>
      </c>
    </row>
    <row r="35" spans="1:3" x14ac:dyDescent="0.3">
      <c r="A35" s="13">
        <v>180</v>
      </c>
      <c r="B35" s="17">
        <f t="shared" si="0"/>
        <v>386.5</v>
      </c>
      <c r="C35" s="14">
        <f t="shared" si="1"/>
        <v>386</v>
      </c>
    </row>
    <row r="36" spans="1:3" x14ac:dyDescent="0.3">
      <c r="A36" s="13">
        <v>190</v>
      </c>
      <c r="B36" s="17">
        <f t="shared" si="0"/>
        <v>405.75</v>
      </c>
      <c r="C36" s="14">
        <f t="shared" si="1"/>
        <v>405</v>
      </c>
    </row>
    <row r="37" spans="1:3" x14ac:dyDescent="0.3">
      <c r="A37" s="13">
        <v>200</v>
      </c>
      <c r="B37" s="17">
        <f t="shared" si="0"/>
        <v>425</v>
      </c>
      <c r="C37" s="14">
        <f t="shared" si="1"/>
        <v>425</v>
      </c>
    </row>
    <row r="38" spans="1:3" x14ac:dyDescent="0.3">
      <c r="A38" s="13">
        <v>210</v>
      </c>
      <c r="B38" s="17">
        <f t="shared" si="0"/>
        <v>444.25</v>
      </c>
      <c r="C38" s="14">
        <f t="shared" si="1"/>
        <v>444</v>
      </c>
    </row>
    <row r="39" spans="1:3" x14ac:dyDescent="0.3">
      <c r="A39" s="13">
        <v>220</v>
      </c>
      <c r="B39" s="17">
        <f t="shared" si="0"/>
        <v>463.5</v>
      </c>
      <c r="C39" s="14">
        <f t="shared" si="1"/>
        <v>463</v>
      </c>
    </row>
    <row r="40" spans="1:3" x14ac:dyDescent="0.3">
      <c r="A40" s="13">
        <v>230</v>
      </c>
      <c r="B40" s="17">
        <f t="shared" si="0"/>
        <v>482.75</v>
      </c>
      <c r="C40" s="14">
        <f t="shared" si="1"/>
        <v>482</v>
      </c>
    </row>
    <row r="41" spans="1:3" x14ac:dyDescent="0.3">
      <c r="A41" s="13">
        <v>240</v>
      </c>
      <c r="B41" s="17">
        <f t="shared" si="0"/>
        <v>502</v>
      </c>
      <c r="C41" s="14">
        <f t="shared" si="1"/>
        <v>502</v>
      </c>
    </row>
    <row r="42" spans="1:3" x14ac:dyDescent="0.3">
      <c r="A42" s="13">
        <v>250</v>
      </c>
      <c r="B42" s="17">
        <f t="shared" si="0"/>
        <v>521.25</v>
      </c>
      <c r="C42" s="14">
        <f t="shared" si="1"/>
        <v>521</v>
      </c>
    </row>
    <row r="43" spans="1:3" x14ac:dyDescent="0.3">
      <c r="A43" s="13">
        <v>260</v>
      </c>
      <c r="B43" s="17">
        <f t="shared" si="0"/>
        <v>540.5</v>
      </c>
      <c r="C43" s="14">
        <f t="shared" si="1"/>
        <v>540</v>
      </c>
    </row>
    <row r="44" spans="1:3" x14ac:dyDescent="0.3">
      <c r="A44" s="13">
        <v>270</v>
      </c>
      <c r="B44" s="17">
        <f t="shared" si="0"/>
        <v>559.75</v>
      </c>
      <c r="C44" s="14">
        <f t="shared" si="1"/>
        <v>559</v>
      </c>
    </row>
    <row r="45" spans="1:3" x14ac:dyDescent="0.3">
      <c r="A45" s="13">
        <v>280</v>
      </c>
      <c r="B45" s="17">
        <f t="shared" si="0"/>
        <v>579</v>
      </c>
      <c r="C45" s="14">
        <f t="shared" si="1"/>
        <v>579</v>
      </c>
    </row>
    <row r="46" spans="1:3" x14ac:dyDescent="0.3">
      <c r="A46" s="13">
        <v>290</v>
      </c>
      <c r="B46" s="17">
        <f t="shared" si="0"/>
        <v>598.25</v>
      </c>
      <c r="C46" s="14">
        <f t="shared" si="1"/>
        <v>598</v>
      </c>
    </row>
    <row r="47" spans="1:3" x14ac:dyDescent="0.3">
      <c r="A47" s="13">
        <v>300</v>
      </c>
      <c r="B47" s="17">
        <f t="shared" si="0"/>
        <v>617.5</v>
      </c>
      <c r="C47" s="14">
        <f t="shared" si="1"/>
        <v>617</v>
      </c>
    </row>
    <row r="49" spans="1:5" x14ac:dyDescent="0.3">
      <c r="A49" s="15" t="s">
        <v>65</v>
      </c>
    </row>
    <row r="51" spans="1:5" x14ac:dyDescent="0.3">
      <c r="A51" s="16" t="s">
        <v>55</v>
      </c>
      <c r="B51" s="16" t="s">
        <v>44</v>
      </c>
      <c r="C51" s="16" t="s">
        <v>66</v>
      </c>
      <c r="D51" s="16" t="s">
        <v>46</v>
      </c>
      <c r="E51" s="16" t="s">
        <v>47</v>
      </c>
    </row>
    <row r="52" spans="1:5" x14ac:dyDescent="0.3">
      <c r="A52" s="13">
        <v>0</v>
      </c>
      <c r="B52" s="14">
        <f t="shared" ref="B52:B82" si="2">ROUND(178*$C$8/(6459+$C$8),0)</f>
        <v>104</v>
      </c>
      <c r="C52" s="14">
        <f t="shared" ref="C52:C82" si="3">ROUND(A52*0.5*IF(INT($C$5)&lt;=50,1,MAX(0.1,CEILING(100-(75-9375/(75+INT($C$5))),1)/100))*$C$13,0)</f>
        <v>0</v>
      </c>
      <c r="D52" s="14">
        <f t="shared" ref="D52:D82" si="4">ROUND(300*$C$8/(3500+$C$8)*(C52/100)*IF(INT($C$5)&lt;=50,1,MAX(0.1,CEILING(100-(75-9375/(75+INT($C$5))),1)/100))*$C$13,0)</f>
        <v>0</v>
      </c>
      <c r="E52" s="14">
        <f t="shared" ref="E52:E82" si="5">B52+C52+D52</f>
        <v>104</v>
      </c>
    </row>
    <row r="53" spans="1:5" x14ac:dyDescent="0.3">
      <c r="A53" s="13">
        <v>10</v>
      </c>
      <c r="B53" s="14">
        <f t="shared" si="2"/>
        <v>104</v>
      </c>
      <c r="C53" s="14">
        <f t="shared" si="3"/>
        <v>4</v>
      </c>
      <c r="D53" s="14">
        <f t="shared" si="4"/>
        <v>7</v>
      </c>
      <c r="E53" s="14">
        <f t="shared" si="5"/>
        <v>115</v>
      </c>
    </row>
    <row r="54" spans="1:5" x14ac:dyDescent="0.3">
      <c r="A54" s="13">
        <v>20</v>
      </c>
      <c r="B54" s="14">
        <f t="shared" si="2"/>
        <v>104</v>
      </c>
      <c r="C54" s="14">
        <f t="shared" si="3"/>
        <v>8</v>
      </c>
      <c r="D54" s="14">
        <f t="shared" si="4"/>
        <v>14</v>
      </c>
      <c r="E54" s="14">
        <f t="shared" si="5"/>
        <v>126</v>
      </c>
    </row>
    <row r="55" spans="1:5" x14ac:dyDescent="0.3">
      <c r="A55" s="13">
        <v>30</v>
      </c>
      <c r="B55" s="14">
        <f t="shared" si="2"/>
        <v>104</v>
      </c>
      <c r="C55" s="14">
        <f t="shared" si="3"/>
        <v>12</v>
      </c>
      <c r="D55" s="14">
        <f t="shared" si="4"/>
        <v>20</v>
      </c>
      <c r="E55" s="14">
        <f t="shared" si="5"/>
        <v>136</v>
      </c>
    </row>
    <row r="56" spans="1:5" x14ac:dyDescent="0.3">
      <c r="A56" s="13">
        <v>40</v>
      </c>
      <c r="B56" s="14">
        <f t="shared" si="2"/>
        <v>104</v>
      </c>
      <c r="C56" s="14">
        <f t="shared" si="3"/>
        <v>16</v>
      </c>
      <c r="D56" s="14">
        <f t="shared" si="4"/>
        <v>27</v>
      </c>
      <c r="E56" s="14">
        <f t="shared" si="5"/>
        <v>147</v>
      </c>
    </row>
    <row r="57" spans="1:5" x14ac:dyDescent="0.3">
      <c r="A57" s="13">
        <v>50</v>
      </c>
      <c r="B57" s="14">
        <f t="shared" si="2"/>
        <v>104</v>
      </c>
      <c r="C57" s="14">
        <f t="shared" si="3"/>
        <v>20</v>
      </c>
      <c r="D57" s="14">
        <f t="shared" si="4"/>
        <v>34</v>
      </c>
      <c r="E57" s="14">
        <f t="shared" si="5"/>
        <v>158</v>
      </c>
    </row>
    <row r="58" spans="1:5" x14ac:dyDescent="0.3">
      <c r="A58" s="13">
        <v>60</v>
      </c>
      <c r="B58" s="14">
        <f t="shared" si="2"/>
        <v>104</v>
      </c>
      <c r="C58" s="14">
        <f t="shared" si="3"/>
        <v>24</v>
      </c>
      <c r="D58" s="14">
        <f t="shared" si="4"/>
        <v>41</v>
      </c>
      <c r="E58" s="14">
        <f t="shared" si="5"/>
        <v>169</v>
      </c>
    </row>
    <row r="59" spans="1:5" x14ac:dyDescent="0.3">
      <c r="A59" s="13">
        <v>70</v>
      </c>
      <c r="B59" s="14">
        <f t="shared" si="2"/>
        <v>104</v>
      </c>
      <c r="C59" s="14">
        <f t="shared" si="3"/>
        <v>28</v>
      </c>
      <c r="D59" s="14">
        <f t="shared" si="4"/>
        <v>48</v>
      </c>
      <c r="E59" s="14">
        <f t="shared" si="5"/>
        <v>180</v>
      </c>
    </row>
    <row r="60" spans="1:5" x14ac:dyDescent="0.3">
      <c r="A60" s="13">
        <v>80</v>
      </c>
      <c r="B60" s="14">
        <f t="shared" si="2"/>
        <v>104</v>
      </c>
      <c r="C60" s="14">
        <f t="shared" si="3"/>
        <v>32</v>
      </c>
      <c r="D60" s="14">
        <f t="shared" si="4"/>
        <v>55</v>
      </c>
      <c r="E60" s="14">
        <f t="shared" si="5"/>
        <v>191</v>
      </c>
    </row>
    <row r="61" spans="1:5" x14ac:dyDescent="0.3">
      <c r="A61" s="13">
        <v>90</v>
      </c>
      <c r="B61" s="14">
        <f t="shared" si="2"/>
        <v>104</v>
      </c>
      <c r="C61" s="14">
        <f t="shared" si="3"/>
        <v>36</v>
      </c>
      <c r="D61" s="14">
        <f t="shared" si="4"/>
        <v>61</v>
      </c>
      <c r="E61" s="14">
        <f t="shared" si="5"/>
        <v>201</v>
      </c>
    </row>
    <row r="62" spans="1:5" x14ac:dyDescent="0.3">
      <c r="A62" s="13">
        <v>100</v>
      </c>
      <c r="B62" s="14">
        <f t="shared" si="2"/>
        <v>104</v>
      </c>
      <c r="C62" s="14">
        <f t="shared" si="3"/>
        <v>40</v>
      </c>
      <c r="D62" s="14">
        <f t="shared" si="4"/>
        <v>68</v>
      </c>
      <c r="E62" s="14">
        <f t="shared" si="5"/>
        <v>212</v>
      </c>
    </row>
    <row r="63" spans="1:5" x14ac:dyDescent="0.3">
      <c r="A63" s="13">
        <v>110</v>
      </c>
      <c r="B63" s="14">
        <f t="shared" si="2"/>
        <v>104</v>
      </c>
      <c r="C63" s="14">
        <f t="shared" si="3"/>
        <v>43</v>
      </c>
      <c r="D63" s="14">
        <f t="shared" si="4"/>
        <v>73</v>
      </c>
      <c r="E63" s="14">
        <f t="shared" si="5"/>
        <v>220</v>
      </c>
    </row>
    <row r="64" spans="1:5" x14ac:dyDescent="0.3">
      <c r="A64" s="13">
        <v>120</v>
      </c>
      <c r="B64" s="14">
        <f t="shared" si="2"/>
        <v>104</v>
      </c>
      <c r="C64" s="14">
        <f t="shared" si="3"/>
        <v>47</v>
      </c>
      <c r="D64" s="14">
        <f t="shared" si="4"/>
        <v>80</v>
      </c>
      <c r="E64" s="14">
        <f t="shared" si="5"/>
        <v>231</v>
      </c>
    </row>
    <row r="65" spans="1:5" x14ac:dyDescent="0.3">
      <c r="A65" s="13">
        <v>130</v>
      </c>
      <c r="B65" s="14">
        <f t="shared" si="2"/>
        <v>104</v>
      </c>
      <c r="C65" s="14">
        <f t="shared" si="3"/>
        <v>51</v>
      </c>
      <c r="D65" s="14">
        <f t="shared" si="4"/>
        <v>87</v>
      </c>
      <c r="E65" s="14">
        <f t="shared" si="5"/>
        <v>242</v>
      </c>
    </row>
    <row r="66" spans="1:5" x14ac:dyDescent="0.3">
      <c r="A66" s="13">
        <v>140</v>
      </c>
      <c r="B66" s="14">
        <f t="shared" si="2"/>
        <v>104</v>
      </c>
      <c r="C66" s="14">
        <f t="shared" si="3"/>
        <v>55</v>
      </c>
      <c r="D66" s="14">
        <f t="shared" si="4"/>
        <v>94</v>
      </c>
      <c r="E66" s="14">
        <f t="shared" si="5"/>
        <v>253</v>
      </c>
    </row>
    <row r="67" spans="1:5" x14ac:dyDescent="0.3">
      <c r="A67" s="13">
        <v>150</v>
      </c>
      <c r="B67" s="14">
        <f t="shared" si="2"/>
        <v>104</v>
      </c>
      <c r="C67" s="14">
        <f t="shared" si="3"/>
        <v>59</v>
      </c>
      <c r="D67" s="14">
        <f t="shared" si="4"/>
        <v>101</v>
      </c>
      <c r="E67" s="14">
        <f t="shared" si="5"/>
        <v>264</v>
      </c>
    </row>
    <row r="68" spans="1:5" x14ac:dyDescent="0.3">
      <c r="A68" s="13">
        <v>160</v>
      </c>
      <c r="B68" s="14">
        <f t="shared" si="2"/>
        <v>104</v>
      </c>
      <c r="C68" s="14">
        <f t="shared" si="3"/>
        <v>63</v>
      </c>
      <c r="D68" s="14">
        <f t="shared" si="4"/>
        <v>108</v>
      </c>
      <c r="E68" s="14">
        <f t="shared" si="5"/>
        <v>275</v>
      </c>
    </row>
    <row r="69" spans="1:5" x14ac:dyDescent="0.3">
      <c r="A69" s="13">
        <v>170</v>
      </c>
      <c r="B69" s="14">
        <f t="shared" si="2"/>
        <v>104</v>
      </c>
      <c r="C69" s="14">
        <f t="shared" si="3"/>
        <v>67</v>
      </c>
      <c r="D69" s="14">
        <f t="shared" si="4"/>
        <v>114</v>
      </c>
      <c r="E69" s="14">
        <f t="shared" si="5"/>
        <v>285</v>
      </c>
    </row>
    <row r="70" spans="1:5" x14ac:dyDescent="0.3">
      <c r="A70" s="13">
        <v>180</v>
      </c>
      <c r="B70" s="14">
        <f t="shared" si="2"/>
        <v>104</v>
      </c>
      <c r="C70" s="14">
        <f t="shared" si="3"/>
        <v>71</v>
      </c>
      <c r="D70" s="14">
        <f t="shared" si="4"/>
        <v>121</v>
      </c>
      <c r="E70" s="14">
        <f t="shared" si="5"/>
        <v>296</v>
      </c>
    </row>
    <row r="71" spans="1:5" x14ac:dyDescent="0.3">
      <c r="A71" s="13">
        <v>190</v>
      </c>
      <c r="B71" s="14">
        <f t="shared" si="2"/>
        <v>104</v>
      </c>
      <c r="C71" s="14">
        <f t="shared" si="3"/>
        <v>75</v>
      </c>
      <c r="D71" s="14">
        <f t="shared" si="4"/>
        <v>128</v>
      </c>
      <c r="E71" s="14">
        <f t="shared" si="5"/>
        <v>307</v>
      </c>
    </row>
    <row r="72" spans="1:5" x14ac:dyDescent="0.3">
      <c r="A72" s="13">
        <v>200</v>
      </c>
      <c r="B72" s="14">
        <f t="shared" si="2"/>
        <v>104</v>
      </c>
      <c r="C72" s="14">
        <f t="shared" si="3"/>
        <v>79</v>
      </c>
      <c r="D72" s="14">
        <f t="shared" si="4"/>
        <v>135</v>
      </c>
      <c r="E72" s="14">
        <f t="shared" si="5"/>
        <v>318</v>
      </c>
    </row>
    <row r="73" spans="1:5" x14ac:dyDescent="0.3">
      <c r="A73" s="13">
        <v>210</v>
      </c>
      <c r="B73" s="14">
        <f t="shared" si="2"/>
        <v>104</v>
      </c>
      <c r="C73" s="14">
        <f t="shared" si="3"/>
        <v>83</v>
      </c>
      <c r="D73" s="14">
        <f t="shared" si="4"/>
        <v>142</v>
      </c>
      <c r="E73" s="14">
        <f t="shared" si="5"/>
        <v>329</v>
      </c>
    </row>
    <row r="74" spans="1:5" x14ac:dyDescent="0.3">
      <c r="A74" s="13">
        <v>220</v>
      </c>
      <c r="B74" s="14">
        <f t="shared" si="2"/>
        <v>104</v>
      </c>
      <c r="C74" s="14">
        <f t="shared" si="3"/>
        <v>87</v>
      </c>
      <c r="D74" s="14">
        <f t="shared" si="4"/>
        <v>148</v>
      </c>
      <c r="E74" s="14">
        <f t="shared" si="5"/>
        <v>339</v>
      </c>
    </row>
    <row r="75" spans="1:5" x14ac:dyDescent="0.3">
      <c r="A75" s="13">
        <v>230</v>
      </c>
      <c r="B75" s="14">
        <f t="shared" si="2"/>
        <v>104</v>
      </c>
      <c r="C75" s="14">
        <f t="shared" si="3"/>
        <v>91</v>
      </c>
      <c r="D75" s="14">
        <f t="shared" si="4"/>
        <v>155</v>
      </c>
      <c r="E75" s="14">
        <f t="shared" si="5"/>
        <v>350</v>
      </c>
    </row>
    <row r="76" spans="1:5" x14ac:dyDescent="0.3">
      <c r="A76" s="13">
        <v>240</v>
      </c>
      <c r="B76" s="14">
        <f t="shared" si="2"/>
        <v>104</v>
      </c>
      <c r="C76" s="14">
        <f t="shared" si="3"/>
        <v>95</v>
      </c>
      <c r="D76" s="14">
        <f t="shared" si="4"/>
        <v>162</v>
      </c>
      <c r="E76" s="14">
        <f t="shared" si="5"/>
        <v>361</v>
      </c>
    </row>
    <row r="77" spans="1:5" x14ac:dyDescent="0.3">
      <c r="A77" s="13">
        <v>250</v>
      </c>
      <c r="B77" s="14">
        <f t="shared" si="2"/>
        <v>104</v>
      </c>
      <c r="C77" s="14">
        <f t="shared" si="3"/>
        <v>99</v>
      </c>
      <c r="D77" s="14">
        <f t="shared" si="4"/>
        <v>169</v>
      </c>
      <c r="E77" s="14">
        <f t="shared" si="5"/>
        <v>372</v>
      </c>
    </row>
    <row r="78" spans="1:5" x14ac:dyDescent="0.3">
      <c r="A78" s="13">
        <v>260</v>
      </c>
      <c r="B78" s="14">
        <f t="shared" si="2"/>
        <v>104</v>
      </c>
      <c r="C78" s="14">
        <f t="shared" si="3"/>
        <v>103</v>
      </c>
      <c r="D78" s="14">
        <f t="shared" si="4"/>
        <v>176</v>
      </c>
      <c r="E78" s="14">
        <f t="shared" si="5"/>
        <v>383</v>
      </c>
    </row>
    <row r="79" spans="1:5" x14ac:dyDescent="0.3">
      <c r="A79" s="13">
        <v>270</v>
      </c>
      <c r="B79" s="14">
        <f t="shared" si="2"/>
        <v>104</v>
      </c>
      <c r="C79" s="14">
        <f t="shared" si="3"/>
        <v>107</v>
      </c>
      <c r="D79" s="14">
        <f t="shared" si="4"/>
        <v>183</v>
      </c>
      <c r="E79" s="14">
        <f t="shared" si="5"/>
        <v>394</v>
      </c>
    </row>
    <row r="80" spans="1:5" x14ac:dyDescent="0.3">
      <c r="A80" s="13">
        <v>280</v>
      </c>
      <c r="B80" s="14">
        <f t="shared" si="2"/>
        <v>104</v>
      </c>
      <c r="C80" s="14">
        <f t="shared" si="3"/>
        <v>111</v>
      </c>
      <c r="D80" s="14">
        <f t="shared" si="4"/>
        <v>189</v>
      </c>
      <c r="E80" s="14">
        <f t="shared" si="5"/>
        <v>404</v>
      </c>
    </row>
    <row r="81" spans="1:5" x14ac:dyDescent="0.3">
      <c r="A81" s="13">
        <v>290</v>
      </c>
      <c r="B81" s="14">
        <f t="shared" si="2"/>
        <v>104</v>
      </c>
      <c r="C81" s="14">
        <f t="shared" si="3"/>
        <v>115</v>
      </c>
      <c r="D81" s="14">
        <f t="shared" si="4"/>
        <v>196</v>
      </c>
      <c r="E81" s="14">
        <f t="shared" si="5"/>
        <v>415</v>
      </c>
    </row>
    <row r="82" spans="1:5" x14ac:dyDescent="0.3">
      <c r="A82" s="13">
        <v>300</v>
      </c>
      <c r="B82" s="14">
        <f t="shared" si="2"/>
        <v>104</v>
      </c>
      <c r="C82" s="14">
        <f t="shared" si="3"/>
        <v>119</v>
      </c>
      <c r="D82" s="14">
        <f t="shared" si="4"/>
        <v>203</v>
      </c>
      <c r="E82" s="14">
        <f t="shared" si="5"/>
        <v>426</v>
      </c>
    </row>
    <row r="84" spans="1:5" x14ac:dyDescent="0.3">
      <c r="A84" s="15" t="s">
        <v>67</v>
      </c>
    </row>
    <row r="86" spans="1:5" x14ac:dyDescent="0.3">
      <c r="A86" s="16" t="s">
        <v>56</v>
      </c>
      <c r="B86" s="16" t="s">
        <v>68</v>
      </c>
    </row>
    <row r="87" spans="1:5" x14ac:dyDescent="0.3">
      <c r="A87" s="13">
        <v>0</v>
      </c>
      <c r="B87" s="11">
        <f t="shared" ref="B87:B117" si="6">IF(INT(A87)&lt;=50,1,MAX(0.1,CEILING(100-(75-9375/(75+INT(A87))),1)/100))</f>
        <v>1</v>
      </c>
    </row>
    <row r="88" spans="1:5" x14ac:dyDescent="0.3">
      <c r="A88" s="13">
        <v>10</v>
      </c>
      <c r="B88" s="11">
        <f t="shared" si="6"/>
        <v>1</v>
      </c>
    </row>
    <row r="89" spans="1:5" x14ac:dyDescent="0.3">
      <c r="A89" s="13">
        <v>20</v>
      </c>
      <c r="B89" s="11">
        <f t="shared" si="6"/>
        <v>1</v>
      </c>
    </row>
    <row r="90" spans="1:5" x14ac:dyDescent="0.3">
      <c r="A90" s="13">
        <v>30</v>
      </c>
      <c r="B90" s="11">
        <f t="shared" si="6"/>
        <v>1</v>
      </c>
    </row>
    <row r="91" spans="1:5" x14ac:dyDescent="0.3">
      <c r="A91" s="13">
        <v>40</v>
      </c>
      <c r="B91" s="11">
        <f t="shared" si="6"/>
        <v>1</v>
      </c>
    </row>
    <row r="92" spans="1:5" x14ac:dyDescent="0.3">
      <c r="A92" s="13">
        <v>50</v>
      </c>
      <c r="B92" s="11">
        <f t="shared" si="6"/>
        <v>1</v>
      </c>
    </row>
    <row r="93" spans="1:5" x14ac:dyDescent="0.3">
      <c r="A93" s="13">
        <v>60</v>
      </c>
      <c r="B93" s="11">
        <f t="shared" si="6"/>
        <v>0.95</v>
      </c>
    </row>
    <row r="94" spans="1:5" x14ac:dyDescent="0.3">
      <c r="A94" s="13">
        <v>70</v>
      </c>
      <c r="B94" s="11">
        <f t="shared" si="6"/>
        <v>0.9</v>
      </c>
    </row>
    <row r="95" spans="1:5" x14ac:dyDescent="0.3">
      <c r="A95" s="13">
        <v>80</v>
      </c>
      <c r="B95" s="11">
        <f t="shared" si="6"/>
        <v>0.86</v>
      </c>
    </row>
    <row r="96" spans="1:5" x14ac:dyDescent="0.3">
      <c r="A96" s="13">
        <v>90</v>
      </c>
      <c r="B96" s="11">
        <f t="shared" si="6"/>
        <v>0.82</v>
      </c>
    </row>
    <row r="97" spans="1:2" x14ac:dyDescent="0.3">
      <c r="A97" s="13">
        <v>100</v>
      </c>
      <c r="B97" s="11">
        <f t="shared" si="6"/>
        <v>0.79</v>
      </c>
    </row>
    <row r="98" spans="1:2" x14ac:dyDescent="0.3">
      <c r="A98" s="13">
        <v>110</v>
      </c>
      <c r="B98" s="11">
        <f t="shared" si="6"/>
        <v>0.76</v>
      </c>
    </row>
    <row r="99" spans="1:2" x14ac:dyDescent="0.3">
      <c r="A99" s="13">
        <v>120</v>
      </c>
      <c r="B99" s="11">
        <f t="shared" si="6"/>
        <v>0.74</v>
      </c>
    </row>
    <row r="100" spans="1:2" x14ac:dyDescent="0.3">
      <c r="A100" s="13">
        <v>130</v>
      </c>
      <c r="B100" s="11">
        <f t="shared" si="6"/>
        <v>0.71</v>
      </c>
    </row>
    <row r="101" spans="1:2" x14ac:dyDescent="0.3">
      <c r="A101" s="13">
        <v>140</v>
      </c>
      <c r="B101" s="11">
        <f t="shared" si="6"/>
        <v>0.69</v>
      </c>
    </row>
    <row r="102" spans="1:2" x14ac:dyDescent="0.3">
      <c r="A102" s="13">
        <v>150</v>
      </c>
      <c r="B102" s="11">
        <f t="shared" si="6"/>
        <v>0.67</v>
      </c>
    </row>
    <row r="103" spans="1:2" x14ac:dyDescent="0.3">
      <c r="A103" s="13">
        <v>160</v>
      </c>
      <c r="B103" s="11">
        <f t="shared" si="6"/>
        <v>0.65</v>
      </c>
    </row>
    <row r="104" spans="1:2" x14ac:dyDescent="0.3">
      <c r="A104" s="13">
        <v>170</v>
      </c>
      <c r="B104" s="11">
        <f t="shared" si="6"/>
        <v>0.64</v>
      </c>
    </row>
    <row r="105" spans="1:2" x14ac:dyDescent="0.3">
      <c r="A105" s="13">
        <v>180</v>
      </c>
      <c r="B105" s="11">
        <f t="shared" si="6"/>
        <v>0.62</v>
      </c>
    </row>
    <row r="106" spans="1:2" x14ac:dyDescent="0.3">
      <c r="A106" s="13">
        <v>190</v>
      </c>
      <c r="B106" s="11">
        <f t="shared" si="6"/>
        <v>0.61</v>
      </c>
    </row>
    <row r="107" spans="1:2" x14ac:dyDescent="0.3">
      <c r="A107" s="13">
        <v>200</v>
      </c>
      <c r="B107" s="11">
        <f t="shared" si="6"/>
        <v>0.6</v>
      </c>
    </row>
    <row r="108" spans="1:2" x14ac:dyDescent="0.3">
      <c r="A108" s="13">
        <v>210</v>
      </c>
      <c r="B108" s="11">
        <f t="shared" si="6"/>
        <v>0.57999999999999996</v>
      </c>
    </row>
    <row r="109" spans="1:2" x14ac:dyDescent="0.3">
      <c r="A109" s="13">
        <v>220</v>
      </c>
      <c r="B109" s="11">
        <f t="shared" si="6"/>
        <v>0.56999999999999995</v>
      </c>
    </row>
    <row r="110" spans="1:2" x14ac:dyDescent="0.3">
      <c r="A110" s="13">
        <v>230</v>
      </c>
      <c r="B110" s="11">
        <f t="shared" si="6"/>
        <v>0.56000000000000005</v>
      </c>
    </row>
    <row r="111" spans="1:2" x14ac:dyDescent="0.3">
      <c r="A111" s="13">
        <v>240</v>
      </c>
      <c r="B111" s="11">
        <f t="shared" si="6"/>
        <v>0.55000000000000004</v>
      </c>
    </row>
    <row r="112" spans="1:2" x14ac:dyDescent="0.3">
      <c r="A112" s="13">
        <v>250</v>
      </c>
      <c r="B112" s="11">
        <f t="shared" si="6"/>
        <v>0.54</v>
      </c>
    </row>
    <row r="113" spans="1:5" x14ac:dyDescent="0.3">
      <c r="A113" s="13">
        <v>260</v>
      </c>
      <c r="B113" s="11">
        <f t="shared" si="6"/>
        <v>0.53</v>
      </c>
    </row>
    <row r="114" spans="1:5" x14ac:dyDescent="0.3">
      <c r="A114" s="13">
        <v>270</v>
      </c>
      <c r="B114" s="11">
        <f t="shared" si="6"/>
        <v>0.53</v>
      </c>
    </row>
    <row r="115" spans="1:5" x14ac:dyDescent="0.3">
      <c r="A115" s="13">
        <v>280</v>
      </c>
      <c r="B115" s="11">
        <f t="shared" si="6"/>
        <v>0.52</v>
      </c>
    </row>
    <row r="116" spans="1:5" x14ac:dyDescent="0.3">
      <c r="A116" s="13">
        <v>290</v>
      </c>
      <c r="B116" s="11">
        <f t="shared" si="6"/>
        <v>0.51</v>
      </c>
    </row>
    <row r="117" spans="1:5" x14ac:dyDescent="0.3">
      <c r="A117" s="13">
        <v>300</v>
      </c>
      <c r="B117" s="11">
        <f t="shared" si="6"/>
        <v>0.5</v>
      </c>
    </row>
    <row r="119" spans="1:5" x14ac:dyDescent="0.3">
      <c r="A119" s="15" t="s">
        <v>69</v>
      </c>
    </row>
    <row r="121" spans="1:5" x14ac:dyDescent="0.3">
      <c r="A121" s="16" t="s">
        <v>43</v>
      </c>
      <c r="B121" s="16" t="s">
        <v>44</v>
      </c>
      <c r="C121" s="16" t="s">
        <v>66</v>
      </c>
      <c r="D121" s="16" t="s">
        <v>46</v>
      </c>
      <c r="E121" s="16" t="s">
        <v>47</v>
      </c>
    </row>
    <row r="122" spans="1:5" x14ac:dyDescent="0.3">
      <c r="A122" s="13">
        <v>0</v>
      </c>
      <c r="B122" s="14">
        <f t="shared" ref="B122:B152" si="7">ROUND(178*A122/(6459+A122),0)</f>
        <v>0</v>
      </c>
      <c r="C122" s="14">
        <f t="shared" ref="C122:C152" si="8">ROUND($C$4*0.5*IF(INT($C$5)&lt;=50,1,MAX(0.1,CEILING(100-(75-9375/(75+INT($C$5))),1)/100))*$C$13,0)</f>
        <v>79</v>
      </c>
      <c r="D122" s="14">
        <f t="shared" ref="D122:D152" si="9">ROUND(300*A122/(3500+A122)*($C$12/100)*IF(INT($C$5)&lt;=50,1,MAX(0.1,CEILING(100-(75-9375/(75+INT($C$5))),1)/100))*$C$13,0)</f>
        <v>0</v>
      </c>
      <c r="E122" s="14">
        <f t="shared" ref="E122:E152" si="10">B122+C122+D122</f>
        <v>79</v>
      </c>
    </row>
    <row r="123" spans="1:5" x14ac:dyDescent="0.3">
      <c r="A123" s="13">
        <v>500</v>
      </c>
      <c r="B123" s="14">
        <f t="shared" si="7"/>
        <v>13</v>
      </c>
      <c r="C123" s="14">
        <f t="shared" si="8"/>
        <v>79</v>
      </c>
      <c r="D123" s="14">
        <f t="shared" si="9"/>
        <v>126</v>
      </c>
      <c r="E123" s="14">
        <f t="shared" si="10"/>
        <v>218</v>
      </c>
    </row>
    <row r="124" spans="1:5" x14ac:dyDescent="0.3">
      <c r="A124" s="13">
        <v>1000</v>
      </c>
      <c r="B124" s="14">
        <f t="shared" si="7"/>
        <v>24</v>
      </c>
      <c r="C124" s="14">
        <f t="shared" si="8"/>
        <v>79</v>
      </c>
      <c r="D124" s="14">
        <f t="shared" si="9"/>
        <v>224</v>
      </c>
      <c r="E124" s="14">
        <f t="shared" si="10"/>
        <v>327</v>
      </c>
    </row>
    <row r="125" spans="1:5" x14ac:dyDescent="0.3">
      <c r="A125" s="13">
        <v>1500</v>
      </c>
      <c r="B125" s="14">
        <f t="shared" si="7"/>
        <v>34</v>
      </c>
      <c r="C125" s="14">
        <f t="shared" si="8"/>
        <v>79</v>
      </c>
      <c r="D125" s="14">
        <f t="shared" si="9"/>
        <v>302</v>
      </c>
      <c r="E125" s="14">
        <f t="shared" si="10"/>
        <v>415</v>
      </c>
    </row>
    <row r="126" spans="1:5" x14ac:dyDescent="0.3">
      <c r="A126" s="13">
        <v>2000</v>
      </c>
      <c r="B126" s="14">
        <f t="shared" si="7"/>
        <v>42</v>
      </c>
      <c r="C126" s="14">
        <f t="shared" si="8"/>
        <v>79</v>
      </c>
      <c r="D126" s="14">
        <f t="shared" si="9"/>
        <v>366</v>
      </c>
      <c r="E126" s="14">
        <f t="shared" si="10"/>
        <v>487</v>
      </c>
    </row>
    <row r="127" spans="1:5" x14ac:dyDescent="0.3">
      <c r="A127" s="13">
        <v>2500</v>
      </c>
      <c r="B127" s="14">
        <f t="shared" si="7"/>
        <v>50</v>
      </c>
      <c r="C127" s="14">
        <f t="shared" si="8"/>
        <v>79</v>
      </c>
      <c r="D127" s="14">
        <f t="shared" si="9"/>
        <v>420</v>
      </c>
      <c r="E127" s="14">
        <f t="shared" si="10"/>
        <v>549</v>
      </c>
    </row>
    <row r="128" spans="1:5" x14ac:dyDescent="0.3">
      <c r="A128" s="13">
        <v>3000</v>
      </c>
      <c r="B128" s="14">
        <f t="shared" si="7"/>
        <v>56</v>
      </c>
      <c r="C128" s="14">
        <f t="shared" si="8"/>
        <v>79</v>
      </c>
      <c r="D128" s="14">
        <f t="shared" si="9"/>
        <v>465</v>
      </c>
      <c r="E128" s="14">
        <f t="shared" si="10"/>
        <v>600</v>
      </c>
    </row>
    <row r="129" spans="1:5" x14ac:dyDescent="0.3">
      <c r="A129" s="13">
        <v>3500</v>
      </c>
      <c r="B129" s="14">
        <f t="shared" si="7"/>
        <v>63</v>
      </c>
      <c r="C129" s="14">
        <f t="shared" si="8"/>
        <v>79</v>
      </c>
      <c r="D129" s="14">
        <f t="shared" si="9"/>
        <v>504</v>
      </c>
      <c r="E129" s="14">
        <f t="shared" si="10"/>
        <v>646</v>
      </c>
    </row>
    <row r="130" spans="1:5" x14ac:dyDescent="0.3">
      <c r="A130" s="13">
        <v>4000</v>
      </c>
      <c r="B130" s="14">
        <f t="shared" si="7"/>
        <v>68</v>
      </c>
      <c r="C130" s="14">
        <f t="shared" si="8"/>
        <v>79</v>
      </c>
      <c r="D130" s="14">
        <f t="shared" si="9"/>
        <v>537</v>
      </c>
      <c r="E130" s="14">
        <f t="shared" si="10"/>
        <v>684</v>
      </c>
    </row>
    <row r="131" spans="1:5" x14ac:dyDescent="0.3">
      <c r="A131" s="13">
        <v>4500</v>
      </c>
      <c r="B131" s="14">
        <f t="shared" si="7"/>
        <v>73</v>
      </c>
      <c r="C131" s="14">
        <f t="shared" si="8"/>
        <v>79</v>
      </c>
      <c r="D131" s="14">
        <f t="shared" si="9"/>
        <v>567</v>
      </c>
      <c r="E131" s="14">
        <f t="shared" si="10"/>
        <v>719</v>
      </c>
    </row>
    <row r="132" spans="1:5" x14ac:dyDescent="0.3">
      <c r="A132" s="13">
        <v>5000</v>
      </c>
      <c r="B132" s="14">
        <f t="shared" si="7"/>
        <v>78</v>
      </c>
      <c r="C132" s="14">
        <f t="shared" si="8"/>
        <v>79</v>
      </c>
      <c r="D132" s="14">
        <f t="shared" si="9"/>
        <v>593</v>
      </c>
      <c r="E132" s="14">
        <f t="shared" si="10"/>
        <v>750</v>
      </c>
    </row>
    <row r="133" spans="1:5" x14ac:dyDescent="0.3">
      <c r="A133" s="13">
        <v>5500</v>
      </c>
      <c r="B133" s="14">
        <f t="shared" si="7"/>
        <v>82</v>
      </c>
      <c r="C133" s="14">
        <f t="shared" si="8"/>
        <v>79</v>
      </c>
      <c r="D133" s="14">
        <f t="shared" si="9"/>
        <v>616</v>
      </c>
      <c r="E133" s="14">
        <f t="shared" si="10"/>
        <v>777</v>
      </c>
    </row>
    <row r="134" spans="1:5" x14ac:dyDescent="0.3">
      <c r="A134" s="13">
        <v>6000</v>
      </c>
      <c r="B134" s="14">
        <f t="shared" si="7"/>
        <v>86</v>
      </c>
      <c r="C134" s="14">
        <f t="shared" si="8"/>
        <v>79</v>
      </c>
      <c r="D134" s="14">
        <f t="shared" si="9"/>
        <v>636</v>
      </c>
      <c r="E134" s="14">
        <f t="shared" si="10"/>
        <v>801</v>
      </c>
    </row>
    <row r="135" spans="1:5" x14ac:dyDescent="0.3">
      <c r="A135" s="13">
        <v>6500</v>
      </c>
      <c r="B135" s="14">
        <f t="shared" si="7"/>
        <v>89</v>
      </c>
      <c r="C135" s="14">
        <f t="shared" si="8"/>
        <v>79</v>
      </c>
      <c r="D135" s="14">
        <f t="shared" si="9"/>
        <v>655</v>
      </c>
      <c r="E135" s="14">
        <f t="shared" si="10"/>
        <v>823</v>
      </c>
    </row>
    <row r="136" spans="1:5" x14ac:dyDescent="0.3">
      <c r="A136" s="13">
        <v>7000</v>
      </c>
      <c r="B136" s="14">
        <f t="shared" si="7"/>
        <v>93</v>
      </c>
      <c r="C136" s="14">
        <f t="shared" si="8"/>
        <v>79</v>
      </c>
      <c r="D136" s="14">
        <f t="shared" si="9"/>
        <v>672</v>
      </c>
      <c r="E136" s="14">
        <f t="shared" si="10"/>
        <v>844</v>
      </c>
    </row>
    <row r="137" spans="1:5" x14ac:dyDescent="0.3">
      <c r="A137" s="13">
        <v>7500</v>
      </c>
      <c r="B137" s="14">
        <f t="shared" si="7"/>
        <v>96</v>
      </c>
      <c r="C137" s="14">
        <f t="shared" si="8"/>
        <v>79</v>
      </c>
      <c r="D137" s="14">
        <f t="shared" si="9"/>
        <v>687</v>
      </c>
      <c r="E137" s="14">
        <f t="shared" si="10"/>
        <v>862</v>
      </c>
    </row>
    <row r="138" spans="1:5" x14ac:dyDescent="0.3">
      <c r="A138" s="13">
        <v>8000</v>
      </c>
      <c r="B138" s="14">
        <f t="shared" si="7"/>
        <v>98</v>
      </c>
      <c r="C138" s="14">
        <f t="shared" si="8"/>
        <v>79</v>
      </c>
      <c r="D138" s="14">
        <f t="shared" si="9"/>
        <v>701</v>
      </c>
      <c r="E138" s="14">
        <f t="shared" si="10"/>
        <v>878</v>
      </c>
    </row>
    <row r="139" spans="1:5" x14ac:dyDescent="0.3">
      <c r="A139" s="13">
        <v>8500</v>
      </c>
      <c r="B139" s="14">
        <f t="shared" si="7"/>
        <v>101</v>
      </c>
      <c r="C139" s="14">
        <f t="shared" si="8"/>
        <v>79</v>
      </c>
      <c r="D139" s="14">
        <f t="shared" si="9"/>
        <v>713</v>
      </c>
      <c r="E139" s="14">
        <f t="shared" si="10"/>
        <v>893</v>
      </c>
    </row>
    <row r="140" spans="1:5" x14ac:dyDescent="0.3">
      <c r="A140" s="13">
        <v>9000</v>
      </c>
      <c r="B140" s="14">
        <f t="shared" si="7"/>
        <v>104</v>
      </c>
      <c r="C140" s="14">
        <f t="shared" si="8"/>
        <v>79</v>
      </c>
      <c r="D140" s="14">
        <f t="shared" si="9"/>
        <v>725</v>
      </c>
      <c r="E140" s="14">
        <f t="shared" si="10"/>
        <v>908</v>
      </c>
    </row>
    <row r="141" spans="1:5" x14ac:dyDescent="0.3">
      <c r="A141" s="13">
        <v>9500</v>
      </c>
      <c r="B141" s="14">
        <f t="shared" si="7"/>
        <v>106</v>
      </c>
      <c r="C141" s="14">
        <f t="shared" si="8"/>
        <v>79</v>
      </c>
      <c r="D141" s="14">
        <f t="shared" si="9"/>
        <v>736</v>
      </c>
      <c r="E141" s="14">
        <f t="shared" si="10"/>
        <v>921</v>
      </c>
    </row>
    <row r="142" spans="1:5" x14ac:dyDescent="0.3">
      <c r="A142" s="13">
        <v>10000</v>
      </c>
      <c r="B142" s="14">
        <f t="shared" si="7"/>
        <v>108</v>
      </c>
      <c r="C142" s="14">
        <f t="shared" si="8"/>
        <v>79</v>
      </c>
      <c r="D142" s="14">
        <f t="shared" si="9"/>
        <v>746</v>
      </c>
      <c r="E142" s="14">
        <f t="shared" si="10"/>
        <v>933</v>
      </c>
    </row>
    <row r="143" spans="1:5" x14ac:dyDescent="0.3">
      <c r="A143" s="13">
        <v>10500</v>
      </c>
      <c r="B143" s="14">
        <f t="shared" si="7"/>
        <v>110</v>
      </c>
      <c r="C143" s="14">
        <f t="shared" si="8"/>
        <v>79</v>
      </c>
      <c r="D143" s="14">
        <f t="shared" si="9"/>
        <v>755</v>
      </c>
      <c r="E143" s="14">
        <f t="shared" si="10"/>
        <v>944</v>
      </c>
    </row>
    <row r="144" spans="1:5" x14ac:dyDescent="0.3">
      <c r="A144" s="13">
        <v>11000</v>
      </c>
      <c r="B144" s="14">
        <f t="shared" si="7"/>
        <v>112</v>
      </c>
      <c r="C144" s="14">
        <f t="shared" si="8"/>
        <v>79</v>
      </c>
      <c r="D144" s="14">
        <f t="shared" si="9"/>
        <v>764</v>
      </c>
      <c r="E144" s="14">
        <f t="shared" si="10"/>
        <v>955</v>
      </c>
    </row>
    <row r="145" spans="1:5" x14ac:dyDescent="0.3">
      <c r="A145" s="13">
        <v>11500</v>
      </c>
      <c r="B145" s="14">
        <f t="shared" si="7"/>
        <v>114</v>
      </c>
      <c r="C145" s="14">
        <f t="shared" si="8"/>
        <v>79</v>
      </c>
      <c r="D145" s="14">
        <f t="shared" si="9"/>
        <v>772</v>
      </c>
      <c r="E145" s="14">
        <f t="shared" si="10"/>
        <v>965</v>
      </c>
    </row>
    <row r="146" spans="1:5" x14ac:dyDescent="0.3">
      <c r="A146" s="13">
        <v>12000</v>
      </c>
      <c r="B146" s="14">
        <f t="shared" si="7"/>
        <v>116</v>
      </c>
      <c r="C146" s="14">
        <f t="shared" si="8"/>
        <v>79</v>
      </c>
      <c r="D146" s="14">
        <f t="shared" si="9"/>
        <v>780</v>
      </c>
      <c r="E146" s="14">
        <f t="shared" si="10"/>
        <v>975</v>
      </c>
    </row>
    <row r="147" spans="1:5" x14ac:dyDescent="0.3">
      <c r="A147" s="13">
        <v>12500</v>
      </c>
      <c r="B147" s="14">
        <f t="shared" si="7"/>
        <v>117</v>
      </c>
      <c r="C147" s="14">
        <f t="shared" si="8"/>
        <v>79</v>
      </c>
      <c r="D147" s="14">
        <f t="shared" si="9"/>
        <v>787</v>
      </c>
      <c r="E147" s="14">
        <f t="shared" si="10"/>
        <v>983</v>
      </c>
    </row>
    <row r="148" spans="1:5" x14ac:dyDescent="0.3">
      <c r="A148" s="13">
        <v>13000</v>
      </c>
      <c r="B148" s="14">
        <f t="shared" si="7"/>
        <v>119</v>
      </c>
      <c r="C148" s="14">
        <f t="shared" si="8"/>
        <v>79</v>
      </c>
      <c r="D148" s="14">
        <f t="shared" si="9"/>
        <v>794</v>
      </c>
      <c r="E148" s="14">
        <f t="shared" si="10"/>
        <v>992</v>
      </c>
    </row>
    <row r="149" spans="1:5" x14ac:dyDescent="0.3">
      <c r="A149" s="13">
        <v>13500</v>
      </c>
      <c r="B149" s="14">
        <f t="shared" si="7"/>
        <v>120</v>
      </c>
      <c r="C149" s="14">
        <f t="shared" si="8"/>
        <v>79</v>
      </c>
      <c r="D149" s="14">
        <f t="shared" si="9"/>
        <v>800</v>
      </c>
      <c r="E149" s="14">
        <f t="shared" si="10"/>
        <v>999</v>
      </c>
    </row>
    <row r="150" spans="1:5" x14ac:dyDescent="0.3">
      <c r="A150" s="13">
        <v>14000</v>
      </c>
      <c r="B150" s="14">
        <f t="shared" si="7"/>
        <v>122</v>
      </c>
      <c r="C150" s="14">
        <f t="shared" si="8"/>
        <v>79</v>
      </c>
      <c r="D150" s="14">
        <f t="shared" si="9"/>
        <v>806</v>
      </c>
      <c r="E150" s="14">
        <f t="shared" si="10"/>
        <v>1007</v>
      </c>
    </row>
    <row r="151" spans="1:5" x14ac:dyDescent="0.3">
      <c r="A151" s="13">
        <v>14500</v>
      </c>
      <c r="B151" s="14">
        <f t="shared" si="7"/>
        <v>123</v>
      </c>
      <c r="C151" s="14">
        <f t="shared" si="8"/>
        <v>79</v>
      </c>
      <c r="D151" s="14">
        <f t="shared" si="9"/>
        <v>811</v>
      </c>
      <c r="E151" s="14">
        <f t="shared" si="10"/>
        <v>1013</v>
      </c>
    </row>
    <row r="152" spans="1:5" x14ac:dyDescent="0.3">
      <c r="A152" s="13">
        <v>15000</v>
      </c>
      <c r="B152" s="14">
        <f t="shared" si="7"/>
        <v>124</v>
      </c>
      <c r="C152" s="14">
        <f t="shared" si="8"/>
        <v>79</v>
      </c>
      <c r="D152" s="14">
        <f t="shared" si="9"/>
        <v>817</v>
      </c>
      <c r="E152" s="14">
        <f t="shared" si="10"/>
        <v>1020</v>
      </c>
    </row>
  </sheetData>
  <phoneticPr fontId="13" type="noConversion"/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M66"/>
  <sheetViews>
    <sheetView workbookViewId="0"/>
  </sheetViews>
  <sheetFormatPr defaultRowHeight="13.5" x14ac:dyDescent="0.3"/>
  <cols>
    <col min="1" max="1" width="12" customWidth="1"/>
    <col min="2" max="7" width="20" customWidth="1"/>
    <col min="8" max="13" width="16" customWidth="1"/>
    <col min="14" max="15" width="4" customWidth="1"/>
  </cols>
  <sheetData>
    <row r="1" spans="1:4" ht="19.149999999999999" x14ac:dyDescent="0.45">
      <c r="A1" s="1" t="s">
        <v>70</v>
      </c>
    </row>
    <row r="2" spans="1:4" x14ac:dyDescent="0.3">
      <c r="A2" s="3" t="s">
        <v>71</v>
      </c>
    </row>
    <row r="4" spans="1:4" x14ac:dyDescent="0.3">
      <c r="B4" s="10" t="s">
        <v>72</v>
      </c>
      <c r="C4" s="8">
        <v>9000</v>
      </c>
    </row>
    <row r="5" spans="1:4" x14ac:dyDescent="0.3">
      <c r="B5" s="10" t="s">
        <v>73</v>
      </c>
      <c r="C5" s="8">
        <v>9000</v>
      </c>
    </row>
    <row r="6" spans="1:4" x14ac:dyDescent="0.3">
      <c r="B6" s="10" t="s">
        <v>74</v>
      </c>
      <c r="C6" s="8">
        <v>8000</v>
      </c>
    </row>
    <row r="7" spans="1:4" ht="27" x14ac:dyDescent="0.3">
      <c r="A7" s="18" t="s">
        <v>75</v>
      </c>
      <c r="B7" s="18" t="s">
        <v>76</v>
      </c>
      <c r="C7" s="18" t="s">
        <v>77</v>
      </c>
      <c r="D7" s="18" t="s">
        <v>78</v>
      </c>
    </row>
    <row r="8" spans="1:4" x14ac:dyDescent="0.3">
      <c r="A8" s="13" t="s">
        <v>79</v>
      </c>
      <c r="B8" s="19">
        <v>151</v>
      </c>
      <c r="C8" s="9">
        <v>1.575</v>
      </c>
      <c r="D8" s="20" t="s">
        <v>80</v>
      </c>
    </row>
    <row r="9" spans="1:4" x14ac:dyDescent="0.3">
      <c r="A9" s="13" t="s">
        <v>81</v>
      </c>
      <c r="B9" s="19">
        <v>68</v>
      </c>
      <c r="C9" s="9">
        <v>0.6</v>
      </c>
      <c r="D9" s="20" t="s">
        <v>82</v>
      </c>
    </row>
    <row r="10" spans="1:4" x14ac:dyDescent="0.3">
      <c r="A10" s="13" t="s">
        <v>83</v>
      </c>
      <c r="B10" s="19">
        <v>80</v>
      </c>
      <c r="C10" s="9">
        <v>0.75</v>
      </c>
      <c r="D10" s="20" t="s">
        <v>84</v>
      </c>
    </row>
    <row r="12" spans="1:4" x14ac:dyDescent="0.3">
      <c r="B12" s="10" t="s">
        <v>85</v>
      </c>
      <c r="C12" s="8">
        <v>1000</v>
      </c>
    </row>
    <row r="13" spans="1:4" x14ac:dyDescent="0.3">
      <c r="B13" s="10" t="s">
        <v>86</v>
      </c>
      <c r="C13" s="8">
        <v>0</v>
      </c>
    </row>
    <row r="15" spans="1:4" x14ac:dyDescent="0.3">
      <c r="A15" s="21" t="s">
        <v>87</v>
      </c>
    </row>
    <row r="17" spans="1:13" ht="27" x14ac:dyDescent="0.3">
      <c r="A17" s="18" t="s">
        <v>55</v>
      </c>
      <c r="B17" s="18" t="s">
        <v>88</v>
      </c>
      <c r="C17" s="18" t="s">
        <v>89</v>
      </c>
      <c r="D17" s="18" t="s">
        <v>90</v>
      </c>
      <c r="E17" s="18" t="s">
        <v>91</v>
      </c>
      <c r="F17" s="18" t="s">
        <v>92</v>
      </c>
      <c r="G17" s="18" t="s">
        <v>93</v>
      </c>
      <c r="H17" s="18" t="s">
        <v>94</v>
      </c>
      <c r="I17" s="18" t="s">
        <v>95</v>
      </c>
      <c r="J17" s="18" t="s">
        <v>96</v>
      </c>
      <c r="K17" s="18" t="s">
        <v>97</v>
      </c>
      <c r="L17" s="18" t="s">
        <v>98</v>
      </c>
      <c r="M17" s="18" t="s">
        <v>99</v>
      </c>
    </row>
    <row r="18" spans="1:13" x14ac:dyDescent="0.3">
      <c r="A18" s="13">
        <v>0</v>
      </c>
      <c r="B18" s="17">
        <f t="shared" ref="B18:B48" si="0">IF($A18&gt;=80,$B$8+$C$8*($A18-80),$B$8*0.4+$B$8*0.6*($A18/80))</f>
        <v>60.400000000000006</v>
      </c>
      <c r="C18" s="14">
        <f t="shared" ref="C18:C48" si="1">INT(B18)+IF(B18-INT(B18)&gt;=0.9,1,0)</f>
        <v>60</v>
      </c>
      <c r="D18" s="17">
        <f t="shared" ref="D18:D48" si="2">IF($A18&gt;=80,$B$9+$C$9*($A18-80),$B$9*0.4+$B$9*0.6*($A18/80))</f>
        <v>27.200000000000003</v>
      </c>
      <c r="E18" s="14">
        <f t="shared" ref="E18:E48" si="3">INT(D18)+IF(D18-INT(D18)&gt;=0.9,1,0)</f>
        <v>27</v>
      </c>
      <c r="F18" s="17">
        <f t="shared" ref="F18:F48" si="4">IF($A18&gt;=80,$B$10+$C$10*($A18-80),$B$10*0.4+$B$10*0.6*($A18/80))</f>
        <v>32</v>
      </c>
      <c r="G18" s="14">
        <f t="shared" ref="G18:G48" si="5">INT(F18)+IF(F18-INT(F18)&gt;=0.9,1,0)</f>
        <v>32</v>
      </c>
      <c r="H18" s="14">
        <f t="shared" ref="H18:H48" si="6">FLOOR(ROUND(300*$C$4/(3500+$C$4),0)*C18/100*(1+$C$13/100),1)</f>
        <v>129</v>
      </c>
      <c r="I18" s="14">
        <f t="shared" ref="I18:I48" si="7">FLOOR(ROUND(300*$C$4/(3500+$C$4),0)*E18/100*(1+$C$13/100),1)</f>
        <v>58</v>
      </c>
      <c r="J18" s="14">
        <f t="shared" ref="J18:J48" si="8">FLOOR(ROUND(300*$C$4/(3500+$C$4),0)*G18/100*(1+$C$13/100),1)</f>
        <v>69</v>
      </c>
      <c r="K18" s="14">
        <f t="shared" ref="K18:K48" si="9">MAX(0,MIN(H18,$C$12,$C$5-$C$6))</f>
        <v>129</v>
      </c>
      <c r="L18" s="14">
        <f t="shared" ref="L18:L48" si="10">MAX(0,MIN(I18,$C$12,$C$5-$C$6))</f>
        <v>58</v>
      </c>
      <c r="M18" s="14">
        <f t="shared" ref="M18:M48" si="11">MAX(0,MIN(J18,$C$12,$C$5-$C$6))</f>
        <v>69</v>
      </c>
    </row>
    <row r="19" spans="1:13" x14ac:dyDescent="0.3">
      <c r="A19" s="13">
        <v>10</v>
      </c>
      <c r="B19" s="17">
        <f t="shared" si="0"/>
        <v>71.725000000000009</v>
      </c>
      <c r="C19" s="14">
        <f t="shared" si="1"/>
        <v>71</v>
      </c>
      <c r="D19" s="17">
        <f t="shared" si="2"/>
        <v>32.300000000000004</v>
      </c>
      <c r="E19" s="14">
        <f t="shared" si="3"/>
        <v>32</v>
      </c>
      <c r="F19" s="17">
        <f t="shared" si="4"/>
        <v>38</v>
      </c>
      <c r="G19" s="14">
        <f t="shared" si="5"/>
        <v>38</v>
      </c>
      <c r="H19" s="14">
        <f t="shared" si="6"/>
        <v>153</v>
      </c>
      <c r="I19" s="14">
        <f t="shared" si="7"/>
        <v>69</v>
      </c>
      <c r="J19" s="14">
        <f t="shared" si="8"/>
        <v>82</v>
      </c>
      <c r="K19" s="14">
        <f t="shared" si="9"/>
        <v>153</v>
      </c>
      <c r="L19" s="14">
        <f t="shared" si="10"/>
        <v>69</v>
      </c>
      <c r="M19" s="14">
        <f t="shared" si="11"/>
        <v>82</v>
      </c>
    </row>
    <row r="20" spans="1:13" x14ac:dyDescent="0.3">
      <c r="A20" s="13">
        <v>20</v>
      </c>
      <c r="B20" s="17">
        <f t="shared" si="0"/>
        <v>83.050000000000011</v>
      </c>
      <c r="C20" s="14">
        <f t="shared" si="1"/>
        <v>83</v>
      </c>
      <c r="D20" s="17">
        <f t="shared" si="2"/>
        <v>37.400000000000006</v>
      </c>
      <c r="E20" s="14">
        <f t="shared" si="3"/>
        <v>37</v>
      </c>
      <c r="F20" s="17">
        <f t="shared" si="4"/>
        <v>44</v>
      </c>
      <c r="G20" s="14">
        <f t="shared" si="5"/>
        <v>44</v>
      </c>
      <c r="H20" s="14">
        <f t="shared" si="6"/>
        <v>179</v>
      </c>
      <c r="I20" s="14">
        <f t="shared" si="7"/>
        <v>79</v>
      </c>
      <c r="J20" s="14">
        <f t="shared" si="8"/>
        <v>95</v>
      </c>
      <c r="K20" s="14">
        <f t="shared" si="9"/>
        <v>179</v>
      </c>
      <c r="L20" s="14">
        <f t="shared" si="10"/>
        <v>79</v>
      </c>
      <c r="M20" s="14">
        <f t="shared" si="11"/>
        <v>95</v>
      </c>
    </row>
    <row r="21" spans="1:13" x14ac:dyDescent="0.3">
      <c r="A21" s="13">
        <v>30</v>
      </c>
      <c r="B21" s="17">
        <f t="shared" si="0"/>
        <v>94.375</v>
      </c>
      <c r="C21" s="14">
        <f t="shared" si="1"/>
        <v>94</v>
      </c>
      <c r="D21" s="17">
        <f t="shared" si="2"/>
        <v>42.5</v>
      </c>
      <c r="E21" s="14">
        <f t="shared" si="3"/>
        <v>42</v>
      </c>
      <c r="F21" s="17">
        <f t="shared" si="4"/>
        <v>50</v>
      </c>
      <c r="G21" s="14">
        <f t="shared" si="5"/>
        <v>50</v>
      </c>
      <c r="H21" s="14">
        <f t="shared" si="6"/>
        <v>203</v>
      </c>
      <c r="I21" s="14">
        <f t="shared" si="7"/>
        <v>90</v>
      </c>
      <c r="J21" s="14">
        <f t="shared" si="8"/>
        <v>108</v>
      </c>
      <c r="K21" s="14">
        <f t="shared" si="9"/>
        <v>203</v>
      </c>
      <c r="L21" s="14">
        <f t="shared" si="10"/>
        <v>90</v>
      </c>
      <c r="M21" s="14">
        <f t="shared" si="11"/>
        <v>108</v>
      </c>
    </row>
    <row r="22" spans="1:13" x14ac:dyDescent="0.3">
      <c r="A22" s="13">
        <v>40</v>
      </c>
      <c r="B22" s="17">
        <f t="shared" si="0"/>
        <v>105.7</v>
      </c>
      <c r="C22" s="14">
        <f t="shared" si="1"/>
        <v>105</v>
      </c>
      <c r="D22" s="17">
        <f t="shared" si="2"/>
        <v>47.6</v>
      </c>
      <c r="E22" s="14">
        <f t="shared" si="3"/>
        <v>47</v>
      </c>
      <c r="F22" s="17">
        <f t="shared" si="4"/>
        <v>56</v>
      </c>
      <c r="G22" s="14">
        <f t="shared" si="5"/>
        <v>56</v>
      </c>
      <c r="H22" s="14">
        <f t="shared" si="6"/>
        <v>226</v>
      </c>
      <c r="I22" s="14">
        <f t="shared" si="7"/>
        <v>101</v>
      </c>
      <c r="J22" s="14">
        <f t="shared" si="8"/>
        <v>120</v>
      </c>
      <c r="K22" s="14">
        <f t="shared" si="9"/>
        <v>226</v>
      </c>
      <c r="L22" s="14">
        <f t="shared" si="10"/>
        <v>101</v>
      </c>
      <c r="M22" s="14">
        <f t="shared" si="11"/>
        <v>120</v>
      </c>
    </row>
    <row r="23" spans="1:13" x14ac:dyDescent="0.3">
      <c r="A23" s="13">
        <v>50</v>
      </c>
      <c r="B23" s="17">
        <f t="shared" si="0"/>
        <v>117.02500000000001</v>
      </c>
      <c r="C23" s="14">
        <f t="shared" si="1"/>
        <v>117</v>
      </c>
      <c r="D23" s="17">
        <f t="shared" si="2"/>
        <v>52.7</v>
      </c>
      <c r="E23" s="14">
        <f t="shared" si="3"/>
        <v>52</v>
      </c>
      <c r="F23" s="17">
        <f t="shared" si="4"/>
        <v>62</v>
      </c>
      <c r="G23" s="14">
        <f t="shared" si="5"/>
        <v>62</v>
      </c>
      <c r="H23" s="14">
        <f t="shared" si="6"/>
        <v>252</v>
      </c>
      <c r="I23" s="14">
        <f t="shared" si="7"/>
        <v>112</v>
      </c>
      <c r="J23" s="14">
        <f t="shared" si="8"/>
        <v>133</v>
      </c>
      <c r="K23" s="14">
        <f t="shared" si="9"/>
        <v>252</v>
      </c>
      <c r="L23" s="14">
        <f t="shared" si="10"/>
        <v>112</v>
      </c>
      <c r="M23" s="14">
        <f t="shared" si="11"/>
        <v>133</v>
      </c>
    </row>
    <row r="24" spans="1:13" x14ac:dyDescent="0.3">
      <c r="A24" s="13">
        <v>60</v>
      </c>
      <c r="B24" s="17">
        <f t="shared" si="0"/>
        <v>128.35</v>
      </c>
      <c r="C24" s="14">
        <f t="shared" si="1"/>
        <v>128</v>
      </c>
      <c r="D24" s="17">
        <f t="shared" si="2"/>
        <v>57.8</v>
      </c>
      <c r="E24" s="14">
        <f t="shared" si="3"/>
        <v>57</v>
      </c>
      <c r="F24" s="17">
        <f t="shared" si="4"/>
        <v>68</v>
      </c>
      <c r="G24" s="14">
        <f t="shared" si="5"/>
        <v>68</v>
      </c>
      <c r="H24" s="14">
        <f t="shared" si="6"/>
        <v>276</v>
      </c>
      <c r="I24" s="14">
        <f t="shared" si="7"/>
        <v>123</v>
      </c>
      <c r="J24" s="14">
        <f t="shared" si="8"/>
        <v>146</v>
      </c>
      <c r="K24" s="14">
        <f t="shared" si="9"/>
        <v>276</v>
      </c>
      <c r="L24" s="14">
        <f t="shared" si="10"/>
        <v>123</v>
      </c>
      <c r="M24" s="14">
        <f t="shared" si="11"/>
        <v>146</v>
      </c>
    </row>
    <row r="25" spans="1:13" x14ac:dyDescent="0.3">
      <c r="A25" s="13">
        <v>70</v>
      </c>
      <c r="B25" s="17">
        <f t="shared" si="0"/>
        <v>139.67500000000001</v>
      </c>
      <c r="C25" s="14">
        <f t="shared" si="1"/>
        <v>139</v>
      </c>
      <c r="D25" s="17">
        <f t="shared" si="2"/>
        <v>62.9</v>
      </c>
      <c r="E25" s="14">
        <f t="shared" si="3"/>
        <v>62</v>
      </c>
      <c r="F25" s="17">
        <f t="shared" si="4"/>
        <v>74</v>
      </c>
      <c r="G25" s="14">
        <f t="shared" si="5"/>
        <v>74</v>
      </c>
      <c r="H25" s="14">
        <f t="shared" si="6"/>
        <v>300</v>
      </c>
      <c r="I25" s="14">
        <f t="shared" si="7"/>
        <v>133</v>
      </c>
      <c r="J25" s="14">
        <f t="shared" si="8"/>
        <v>159</v>
      </c>
      <c r="K25" s="14">
        <f t="shared" si="9"/>
        <v>300</v>
      </c>
      <c r="L25" s="14">
        <f t="shared" si="10"/>
        <v>133</v>
      </c>
      <c r="M25" s="14">
        <f t="shared" si="11"/>
        <v>159</v>
      </c>
    </row>
    <row r="26" spans="1:13" x14ac:dyDescent="0.3">
      <c r="A26" s="13">
        <v>80</v>
      </c>
      <c r="B26" s="17">
        <f t="shared" si="0"/>
        <v>151</v>
      </c>
      <c r="C26" s="14">
        <f t="shared" si="1"/>
        <v>151</v>
      </c>
      <c r="D26" s="17">
        <f t="shared" si="2"/>
        <v>68</v>
      </c>
      <c r="E26" s="14">
        <f t="shared" si="3"/>
        <v>68</v>
      </c>
      <c r="F26" s="17">
        <f t="shared" si="4"/>
        <v>80</v>
      </c>
      <c r="G26" s="14">
        <f t="shared" si="5"/>
        <v>80</v>
      </c>
      <c r="H26" s="14">
        <f t="shared" si="6"/>
        <v>326</v>
      </c>
      <c r="I26" s="14">
        <f t="shared" si="7"/>
        <v>146</v>
      </c>
      <c r="J26" s="14">
        <f t="shared" si="8"/>
        <v>172</v>
      </c>
      <c r="K26" s="14">
        <f t="shared" si="9"/>
        <v>326</v>
      </c>
      <c r="L26" s="14">
        <f t="shared" si="10"/>
        <v>146</v>
      </c>
      <c r="M26" s="14">
        <f t="shared" si="11"/>
        <v>172</v>
      </c>
    </row>
    <row r="27" spans="1:13" x14ac:dyDescent="0.3">
      <c r="A27" s="13">
        <v>90</v>
      </c>
      <c r="B27" s="17">
        <f t="shared" si="0"/>
        <v>166.75</v>
      </c>
      <c r="C27" s="14">
        <f t="shared" si="1"/>
        <v>166</v>
      </c>
      <c r="D27" s="17">
        <f t="shared" si="2"/>
        <v>74</v>
      </c>
      <c r="E27" s="14">
        <f t="shared" si="3"/>
        <v>74</v>
      </c>
      <c r="F27" s="17">
        <f t="shared" si="4"/>
        <v>87.5</v>
      </c>
      <c r="G27" s="14">
        <f t="shared" si="5"/>
        <v>87</v>
      </c>
      <c r="H27" s="14">
        <f t="shared" si="6"/>
        <v>358</v>
      </c>
      <c r="I27" s="14">
        <f t="shared" si="7"/>
        <v>159</v>
      </c>
      <c r="J27" s="14">
        <f t="shared" si="8"/>
        <v>187</v>
      </c>
      <c r="K27" s="14">
        <f t="shared" si="9"/>
        <v>358</v>
      </c>
      <c r="L27" s="14">
        <f t="shared" si="10"/>
        <v>159</v>
      </c>
      <c r="M27" s="14">
        <f t="shared" si="11"/>
        <v>187</v>
      </c>
    </row>
    <row r="28" spans="1:13" x14ac:dyDescent="0.3">
      <c r="A28" s="13">
        <v>100</v>
      </c>
      <c r="B28" s="17">
        <f t="shared" si="0"/>
        <v>182.5</v>
      </c>
      <c r="C28" s="14">
        <f t="shared" si="1"/>
        <v>182</v>
      </c>
      <c r="D28" s="17">
        <f t="shared" si="2"/>
        <v>80</v>
      </c>
      <c r="E28" s="14">
        <f t="shared" si="3"/>
        <v>80</v>
      </c>
      <c r="F28" s="17">
        <f t="shared" si="4"/>
        <v>95</v>
      </c>
      <c r="G28" s="14">
        <f t="shared" si="5"/>
        <v>95</v>
      </c>
      <c r="H28" s="14">
        <f t="shared" si="6"/>
        <v>393</v>
      </c>
      <c r="I28" s="14">
        <f t="shared" si="7"/>
        <v>172</v>
      </c>
      <c r="J28" s="14">
        <f t="shared" si="8"/>
        <v>205</v>
      </c>
      <c r="K28" s="14">
        <f t="shared" si="9"/>
        <v>393</v>
      </c>
      <c r="L28" s="14">
        <f t="shared" si="10"/>
        <v>172</v>
      </c>
      <c r="M28" s="14">
        <f t="shared" si="11"/>
        <v>205</v>
      </c>
    </row>
    <row r="29" spans="1:13" x14ac:dyDescent="0.3">
      <c r="A29" s="13">
        <v>110</v>
      </c>
      <c r="B29" s="17">
        <f t="shared" si="0"/>
        <v>198.25</v>
      </c>
      <c r="C29" s="14">
        <f t="shared" si="1"/>
        <v>198</v>
      </c>
      <c r="D29" s="17">
        <f t="shared" si="2"/>
        <v>86</v>
      </c>
      <c r="E29" s="14">
        <f t="shared" si="3"/>
        <v>86</v>
      </c>
      <c r="F29" s="17">
        <f t="shared" si="4"/>
        <v>102.5</v>
      </c>
      <c r="G29" s="14">
        <f t="shared" si="5"/>
        <v>102</v>
      </c>
      <c r="H29" s="14">
        <f t="shared" si="6"/>
        <v>427</v>
      </c>
      <c r="I29" s="14">
        <f t="shared" si="7"/>
        <v>185</v>
      </c>
      <c r="J29" s="14">
        <f t="shared" si="8"/>
        <v>220</v>
      </c>
      <c r="K29" s="14">
        <f t="shared" si="9"/>
        <v>427</v>
      </c>
      <c r="L29" s="14">
        <f t="shared" si="10"/>
        <v>185</v>
      </c>
      <c r="M29" s="14">
        <f t="shared" si="11"/>
        <v>220</v>
      </c>
    </row>
    <row r="30" spans="1:13" x14ac:dyDescent="0.3">
      <c r="A30" s="13">
        <v>120</v>
      </c>
      <c r="B30" s="17">
        <f t="shared" si="0"/>
        <v>214</v>
      </c>
      <c r="C30" s="14">
        <f t="shared" si="1"/>
        <v>214</v>
      </c>
      <c r="D30" s="17">
        <f t="shared" si="2"/>
        <v>92</v>
      </c>
      <c r="E30" s="14">
        <f t="shared" si="3"/>
        <v>92</v>
      </c>
      <c r="F30" s="17">
        <f t="shared" si="4"/>
        <v>110</v>
      </c>
      <c r="G30" s="14">
        <f t="shared" si="5"/>
        <v>110</v>
      </c>
      <c r="H30" s="14">
        <f t="shared" si="6"/>
        <v>462</v>
      </c>
      <c r="I30" s="14">
        <f t="shared" si="7"/>
        <v>198</v>
      </c>
      <c r="J30" s="14">
        <f t="shared" si="8"/>
        <v>237</v>
      </c>
      <c r="K30" s="14">
        <f t="shared" si="9"/>
        <v>462</v>
      </c>
      <c r="L30" s="14">
        <f t="shared" si="10"/>
        <v>198</v>
      </c>
      <c r="M30" s="14">
        <f t="shared" si="11"/>
        <v>237</v>
      </c>
    </row>
    <row r="31" spans="1:13" x14ac:dyDescent="0.3">
      <c r="A31" s="13">
        <v>130</v>
      </c>
      <c r="B31" s="17">
        <f t="shared" si="0"/>
        <v>229.75</v>
      </c>
      <c r="C31" s="14">
        <f t="shared" si="1"/>
        <v>229</v>
      </c>
      <c r="D31" s="17">
        <f t="shared" si="2"/>
        <v>98</v>
      </c>
      <c r="E31" s="14">
        <f t="shared" si="3"/>
        <v>98</v>
      </c>
      <c r="F31" s="17">
        <f t="shared" si="4"/>
        <v>117.5</v>
      </c>
      <c r="G31" s="14">
        <f t="shared" si="5"/>
        <v>117</v>
      </c>
      <c r="H31" s="14">
        <f t="shared" si="6"/>
        <v>494</v>
      </c>
      <c r="I31" s="14">
        <f t="shared" si="7"/>
        <v>211</v>
      </c>
      <c r="J31" s="14">
        <f t="shared" si="8"/>
        <v>252</v>
      </c>
      <c r="K31" s="14">
        <f t="shared" si="9"/>
        <v>494</v>
      </c>
      <c r="L31" s="14">
        <f t="shared" si="10"/>
        <v>211</v>
      </c>
      <c r="M31" s="14">
        <f t="shared" si="11"/>
        <v>252</v>
      </c>
    </row>
    <row r="32" spans="1:13" x14ac:dyDescent="0.3">
      <c r="A32" s="13">
        <v>140</v>
      </c>
      <c r="B32" s="17">
        <f t="shared" si="0"/>
        <v>245.5</v>
      </c>
      <c r="C32" s="14">
        <f t="shared" si="1"/>
        <v>245</v>
      </c>
      <c r="D32" s="17">
        <f t="shared" si="2"/>
        <v>104</v>
      </c>
      <c r="E32" s="14">
        <f t="shared" si="3"/>
        <v>104</v>
      </c>
      <c r="F32" s="17">
        <f t="shared" si="4"/>
        <v>125</v>
      </c>
      <c r="G32" s="14">
        <f t="shared" si="5"/>
        <v>125</v>
      </c>
      <c r="H32" s="14">
        <f t="shared" si="6"/>
        <v>529</v>
      </c>
      <c r="I32" s="14">
        <f t="shared" si="7"/>
        <v>224</v>
      </c>
      <c r="J32" s="14">
        <f t="shared" si="8"/>
        <v>270</v>
      </c>
      <c r="K32" s="14">
        <f t="shared" si="9"/>
        <v>529</v>
      </c>
      <c r="L32" s="14">
        <f t="shared" si="10"/>
        <v>224</v>
      </c>
      <c r="M32" s="14">
        <f t="shared" si="11"/>
        <v>270</v>
      </c>
    </row>
    <row r="33" spans="1:13" x14ac:dyDescent="0.3">
      <c r="A33" s="13">
        <v>150</v>
      </c>
      <c r="B33" s="17">
        <f t="shared" si="0"/>
        <v>261.25</v>
      </c>
      <c r="C33" s="14">
        <f t="shared" si="1"/>
        <v>261</v>
      </c>
      <c r="D33" s="17">
        <f t="shared" si="2"/>
        <v>110</v>
      </c>
      <c r="E33" s="14">
        <f t="shared" si="3"/>
        <v>110</v>
      </c>
      <c r="F33" s="17">
        <f t="shared" si="4"/>
        <v>132.5</v>
      </c>
      <c r="G33" s="14">
        <f t="shared" si="5"/>
        <v>132</v>
      </c>
      <c r="H33" s="14">
        <f t="shared" si="6"/>
        <v>563</v>
      </c>
      <c r="I33" s="14">
        <f t="shared" si="7"/>
        <v>237</v>
      </c>
      <c r="J33" s="14">
        <f t="shared" si="8"/>
        <v>285</v>
      </c>
      <c r="K33" s="14">
        <f t="shared" si="9"/>
        <v>563</v>
      </c>
      <c r="L33" s="14">
        <f t="shared" si="10"/>
        <v>237</v>
      </c>
      <c r="M33" s="14">
        <f t="shared" si="11"/>
        <v>285</v>
      </c>
    </row>
    <row r="34" spans="1:13" x14ac:dyDescent="0.3">
      <c r="A34" s="13">
        <v>160</v>
      </c>
      <c r="B34" s="17">
        <f t="shared" si="0"/>
        <v>277</v>
      </c>
      <c r="C34" s="14">
        <f t="shared" si="1"/>
        <v>277</v>
      </c>
      <c r="D34" s="17">
        <f t="shared" si="2"/>
        <v>116</v>
      </c>
      <c r="E34" s="14">
        <f t="shared" si="3"/>
        <v>116</v>
      </c>
      <c r="F34" s="17">
        <f t="shared" si="4"/>
        <v>140</v>
      </c>
      <c r="G34" s="14">
        <f t="shared" si="5"/>
        <v>140</v>
      </c>
      <c r="H34" s="14">
        <f t="shared" si="6"/>
        <v>598</v>
      </c>
      <c r="I34" s="14">
        <f t="shared" si="7"/>
        <v>250</v>
      </c>
      <c r="J34" s="14">
        <f t="shared" si="8"/>
        <v>302</v>
      </c>
      <c r="K34" s="14">
        <f t="shared" si="9"/>
        <v>598</v>
      </c>
      <c r="L34" s="14">
        <f t="shared" si="10"/>
        <v>250</v>
      </c>
      <c r="M34" s="14">
        <f t="shared" si="11"/>
        <v>302</v>
      </c>
    </row>
    <row r="35" spans="1:13" x14ac:dyDescent="0.3">
      <c r="A35" s="13">
        <v>170</v>
      </c>
      <c r="B35" s="17">
        <f t="shared" si="0"/>
        <v>292.75</v>
      </c>
      <c r="C35" s="14">
        <f t="shared" si="1"/>
        <v>292</v>
      </c>
      <c r="D35" s="17">
        <f t="shared" si="2"/>
        <v>122</v>
      </c>
      <c r="E35" s="14">
        <f t="shared" si="3"/>
        <v>122</v>
      </c>
      <c r="F35" s="17">
        <f t="shared" si="4"/>
        <v>147.5</v>
      </c>
      <c r="G35" s="14">
        <f t="shared" si="5"/>
        <v>147</v>
      </c>
      <c r="H35" s="14">
        <f t="shared" si="6"/>
        <v>630</v>
      </c>
      <c r="I35" s="14">
        <f t="shared" si="7"/>
        <v>263</v>
      </c>
      <c r="J35" s="14">
        <f t="shared" si="8"/>
        <v>317</v>
      </c>
      <c r="K35" s="14">
        <f t="shared" si="9"/>
        <v>630</v>
      </c>
      <c r="L35" s="14">
        <f t="shared" si="10"/>
        <v>263</v>
      </c>
      <c r="M35" s="14">
        <f t="shared" si="11"/>
        <v>317</v>
      </c>
    </row>
    <row r="36" spans="1:13" x14ac:dyDescent="0.3">
      <c r="A36" s="13">
        <v>180</v>
      </c>
      <c r="B36" s="17">
        <f t="shared" si="0"/>
        <v>308.5</v>
      </c>
      <c r="C36" s="14">
        <f t="shared" si="1"/>
        <v>308</v>
      </c>
      <c r="D36" s="17">
        <f t="shared" si="2"/>
        <v>128</v>
      </c>
      <c r="E36" s="14">
        <f t="shared" si="3"/>
        <v>128</v>
      </c>
      <c r="F36" s="17">
        <f t="shared" si="4"/>
        <v>155</v>
      </c>
      <c r="G36" s="14">
        <f t="shared" si="5"/>
        <v>155</v>
      </c>
      <c r="H36" s="14">
        <f t="shared" si="6"/>
        <v>665</v>
      </c>
      <c r="I36" s="14">
        <f t="shared" si="7"/>
        <v>276</v>
      </c>
      <c r="J36" s="14">
        <f t="shared" si="8"/>
        <v>334</v>
      </c>
      <c r="K36" s="14">
        <f t="shared" si="9"/>
        <v>665</v>
      </c>
      <c r="L36" s="14">
        <f t="shared" si="10"/>
        <v>276</v>
      </c>
      <c r="M36" s="14">
        <f t="shared" si="11"/>
        <v>334</v>
      </c>
    </row>
    <row r="37" spans="1:13" x14ac:dyDescent="0.3">
      <c r="A37" s="13">
        <v>190</v>
      </c>
      <c r="B37" s="17">
        <f t="shared" si="0"/>
        <v>324.25</v>
      </c>
      <c r="C37" s="14">
        <f t="shared" si="1"/>
        <v>324</v>
      </c>
      <c r="D37" s="17">
        <f t="shared" si="2"/>
        <v>134</v>
      </c>
      <c r="E37" s="14">
        <f t="shared" si="3"/>
        <v>134</v>
      </c>
      <c r="F37" s="17">
        <f t="shared" si="4"/>
        <v>162.5</v>
      </c>
      <c r="G37" s="14">
        <f t="shared" si="5"/>
        <v>162</v>
      </c>
      <c r="H37" s="14">
        <f t="shared" si="6"/>
        <v>699</v>
      </c>
      <c r="I37" s="14">
        <f t="shared" si="7"/>
        <v>289</v>
      </c>
      <c r="J37" s="14">
        <f t="shared" si="8"/>
        <v>349</v>
      </c>
      <c r="K37" s="14">
        <f t="shared" si="9"/>
        <v>699</v>
      </c>
      <c r="L37" s="14">
        <f t="shared" si="10"/>
        <v>289</v>
      </c>
      <c r="M37" s="14">
        <f t="shared" si="11"/>
        <v>349</v>
      </c>
    </row>
    <row r="38" spans="1:13" x14ac:dyDescent="0.3">
      <c r="A38" s="13">
        <v>200</v>
      </c>
      <c r="B38" s="17">
        <f t="shared" si="0"/>
        <v>340</v>
      </c>
      <c r="C38" s="14">
        <f t="shared" si="1"/>
        <v>340</v>
      </c>
      <c r="D38" s="17">
        <f t="shared" si="2"/>
        <v>140</v>
      </c>
      <c r="E38" s="14">
        <f t="shared" si="3"/>
        <v>140</v>
      </c>
      <c r="F38" s="17">
        <f t="shared" si="4"/>
        <v>170</v>
      </c>
      <c r="G38" s="14">
        <f t="shared" si="5"/>
        <v>170</v>
      </c>
      <c r="H38" s="14">
        <f t="shared" si="6"/>
        <v>734</v>
      </c>
      <c r="I38" s="14">
        <f t="shared" si="7"/>
        <v>302</v>
      </c>
      <c r="J38" s="14">
        <f t="shared" si="8"/>
        <v>367</v>
      </c>
      <c r="K38" s="14">
        <f t="shared" si="9"/>
        <v>734</v>
      </c>
      <c r="L38" s="14">
        <f t="shared" si="10"/>
        <v>302</v>
      </c>
      <c r="M38" s="14">
        <f t="shared" si="11"/>
        <v>367</v>
      </c>
    </row>
    <row r="39" spans="1:13" x14ac:dyDescent="0.3">
      <c r="A39" s="13">
        <v>210</v>
      </c>
      <c r="B39" s="17">
        <f t="shared" si="0"/>
        <v>355.75</v>
      </c>
      <c r="C39" s="14">
        <f t="shared" si="1"/>
        <v>355</v>
      </c>
      <c r="D39" s="17">
        <f t="shared" si="2"/>
        <v>146</v>
      </c>
      <c r="E39" s="14">
        <f t="shared" si="3"/>
        <v>146</v>
      </c>
      <c r="F39" s="17">
        <f t="shared" si="4"/>
        <v>177.5</v>
      </c>
      <c r="G39" s="14">
        <f t="shared" si="5"/>
        <v>177</v>
      </c>
      <c r="H39" s="14">
        <f t="shared" si="6"/>
        <v>766</v>
      </c>
      <c r="I39" s="14">
        <f t="shared" si="7"/>
        <v>315</v>
      </c>
      <c r="J39" s="14">
        <f t="shared" si="8"/>
        <v>382</v>
      </c>
      <c r="K39" s="14">
        <f t="shared" si="9"/>
        <v>766</v>
      </c>
      <c r="L39" s="14">
        <f t="shared" si="10"/>
        <v>315</v>
      </c>
      <c r="M39" s="14">
        <f t="shared" si="11"/>
        <v>382</v>
      </c>
    </row>
    <row r="40" spans="1:13" x14ac:dyDescent="0.3">
      <c r="A40" s="13">
        <v>220</v>
      </c>
      <c r="B40" s="17">
        <f t="shared" si="0"/>
        <v>371.5</v>
      </c>
      <c r="C40" s="14">
        <f t="shared" si="1"/>
        <v>371</v>
      </c>
      <c r="D40" s="17">
        <f t="shared" si="2"/>
        <v>152</v>
      </c>
      <c r="E40" s="14">
        <f t="shared" si="3"/>
        <v>152</v>
      </c>
      <c r="F40" s="17">
        <f t="shared" si="4"/>
        <v>185</v>
      </c>
      <c r="G40" s="14">
        <f t="shared" si="5"/>
        <v>185</v>
      </c>
      <c r="H40" s="14">
        <f t="shared" si="6"/>
        <v>801</v>
      </c>
      <c r="I40" s="14">
        <f t="shared" si="7"/>
        <v>328</v>
      </c>
      <c r="J40" s="14">
        <f t="shared" si="8"/>
        <v>399</v>
      </c>
      <c r="K40" s="14">
        <f t="shared" si="9"/>
        <v>801</v>
      </c>
      <c r="L40" s="14">
        <f t="shared" si="10"/>
        <v>328</v>
      </c>
      <c r="M40" s="14">
        <f t="shared" si="11"/>
        <v>399</v>
      </c>
    </row>
    <row r="41" spans="1:13" x14ac:dyDescent="0.3">
      <c r="A41" s="13">
        <v>230</v>
      </c>
      <c r="B41" s="17">
        <f t="shared" si="0"/>
        <v>387.25</v>
      </c>
      <c r="C41" s="14">
        <f t="shared" si="1"/>
        <v>387</v>
      </c>
      <c r="D41" s="17">
        <f t="shared" si="2"/>
        <v>158</v>
      </c>
      <c r="E41" s="14">
        <f t="shared" si="3"/>
        <v>158</v>
      </c>
      <c r="F41" s="17">
        <f t="shared" si="4"/>
        <v>192.5</v>
      </c>
      <c r="G41" s="14">
        <f t="shared" si="5"/>
        <v>192</v>
      </c>
      <c r="H41" s="14">
        <f t="shared" si="6"/>
        <v>835</v>
      </c>
      <c r="I41" s="14">
        <f t="shared" si="7"/>
        <v>341</v>
      </c>
      <c r="J41" s="14">
        <f t="shared" si="8"/>
        <v>414</v>
      </c>
      <c r="K41" s="14">
        <f t="shared" si="9"/>
        <v>835</v>
      </c>
      <c r="L41" s="14">
        <f t="shared" si="10"/>
        <v>341</v>
      </c>
      <c r="M41" s="14">
        <f t="shared" si="11"/>
        <v>414</v>
      </c>
    </row>
    <row r="42" spans="1:13" x14ac:dyDescent="0.3">
      <c r="A42" s="13">
        <v>240</v>
      </c>
      <c r="B42" s="17">
        <f t="shared" si="0"/>
        <v>403</v>
      </c>
      <c r="C42" s="14">
        <f t="shared" si="1"/>
        <v>403</v>
      </c>
      <c r="D42" s="17">
        <f t="shared" si="2"/>
        <v>164</v>
      </c>
      <c r="E42" s="14">
        <f t="shared" si="3"/>
        <v>164</v>
      </c>
      <c r="F42" s="17">
        <f t="shared" si="4"/>
        <v>200</v>
      </c>
      <c r="G42" s="14">
        <f t="shared" si="5"/>
        <v>200</v>
      </c>
      <c r="H42" s="14">
        <f t="shared" si="6"/>
        <v>870</v>
      </c>
      <c r="I42" s="14">
        <f t="shared" si="7"/>
        <v>354</v>
      </c>
      <c r="J42" s="14">
        <f t="shared" si="8"/>
        <v>432</v>
      </c>
      <c r="K42" s="14">
        <f t="shared" si="9"/>
        <v>870</v>
      </c>
      <c r="L42" s="14">
        <f t="shared" si="10"/>
        <v>354</v>
      </c>
      <c r="M42" s="14">
        <f t="shared" si="11"/>
        <v>432</v>
      </c>
    </row>
    <row r="43" spans="1:13" x14ac:dyDescent="0.3">
      <c r="A43" s="13">
        <v>250</v>
      </c>
      <c r="B43" s="17">
        <f t="shared" si="0"/>
        <v>418.75</v>
      </c>
      <c r="C43" s="14">
        <f t="shared" si="1"/>
        <v>418</v>
      </c>
      <c r="D43" s="17">
        <f t="shared" si="2"/>
        <v>170</v>
      </c>
      <c r="E43" s="14">
        <f t="shared" si="3"/>
        <v>170</v>
      </c>
      <c r="F43" s="17">
        <f t="shared" si="4"/>
        <v>207.5</v>
      </c>
      <c r="G43" s="14">
        <f t="shared" si="5"/>
        <v>207</v>
      </c>
      <c r="H43" s="14">
        <f t="shared" si="6"/>
        <v>902</v>
      </c>
      <c r="I43" s="14">
        <f t="shared" si="7"/>
        <v>367</v>
      </c>
      <c r="J43" s="14">
        <f t="shared" si="8"/>
        <v>447</v>
      </c>
      <c r="K43" s="14">
        <f t="shared" si="9"/>
        <v>902</v>
      </c>
      <c r="L43" s="14">
        <f t="shared" si="10"/>
        <v>367</v>
      </c>
      <c r="M43" s="14">
        <f t="shared" si="11"/>
        <v>447</v>
      </c>
    </row>
    <row r="44" spans="1:13" x14ac:dyDescent="0.3">
      <c r="A44" s="13">
        <v>260</v>
      </c>
      <c r="B44" s="17">
        <f t="shared" si="0"/>
        <v>434.5</v>
      </c>
      <c r="C44" s="14">
        <f t="shared" si="1"/>
        <v>434</v>
      </c>
      <c r="D44" s="17">
        <f t="shared" si="2"/>
        <v>176</v>
      </c>
      <c r="E44" s="14">
        <f t="shared" si="3"/>
        <v>176</v>
      </c>
      <c r="F44" s="17">
        <f t="shared" si="4"/>
        <v>215</v>
      </c>
      <c r="G44" s="14">
        <f t="shared" si="5"/>
        <v>215</v>
      </c>
      <c r="H44" s="14">
        <f t="shared" si="6"/>
        <v>937</v>
      </c>
      <c r="I44" s="14">
        <f t="shared" si="7"/>
        <v>380</v>
      </c>
      <c r="J44" s="14">
        <f t="shared" si="8"/>
        <v>464</v>
      </c>
      <c r="K44" s="14">
        <f t="shared" si="9"/>
        <v>937</v>
      </c>
      <c r="L44" s="14">
        <f t="shared" si="10"/>
        <v>380</v>
      </c>
      <c r="M44" s="14">
        <f t="shared" si="11"/>
        <v>464</v>
      </c>
    </row>
    <row r="45" spans="1:13" x14ac:dyDescent="0.3">
      <c r="A45" s="13">
        <v>270</v>
      </c>
      <c r="B45" s="17">
        <f t="shared" si="0"/>
        <v>450.25</v>
      </c>
      <c r="C45" s="14">
        <f t="shared" si="1"/>
        <v>450</v>
      </c>
      <c r="D45" s="17">
        <f t="shared" si="2"/>
        <v>182</v>
      </c>
      <c r="E45" s="14">
        <f t="shared" si="3"/>
        <v>182</v>
      </c>
      <c r="F45" s="17">
        <f t="shared" si="4"/>
        <v>222.5</v>
      </c>
      <c r="G45" s="14">
        <f t="shared" si="5"/>
        <v>222</v>
      </c>
      <c r="H45" s="14">
        <f t="shared" si="6"/>
        <v>972</v>
      </c>
      <c r="I45" s="14">
        <f t="shared" si="7"/>
        <v>393</v>
      </c>
      <c r="J45" s="14">
        <f t="shared" si="8"/>
        <v>479</v>
      </c>
      <c r="K45" s="14">
        <f t="shared" si="9"/>
        <v>972</v>
      </c>
      <c r="L45" s="14">
        <f t="shared" si="10"/>
        <v>393</v>
      </c>
      <c r="M45" s="14">
        <f t="shared" si="11"/>
        <v>479</v>
      </c>
    </row>
    <row r="46" spans="1:13" x14ac:dyDescent="0.3">
      <c r="A46" s="13">
        <v>280</v>
      </c>
      <c r="B46" s="17">
        <f t="shared" si="0"/>
        <v>466</v>
      </c>
      <c r="C46" s="14">
        <f t="shared" si="1"/>
        <v>466</v>
      </c>
      <c r="D46" s="17">
        <f t="shared" si="2"/>
        <v>188</v>
      </c>
      <c r="E46" s="14">
        <f t="shared" si="3"/>
        <v>188</v>
      </c>
      <c r="F46" s="17">
        <f t="shared" si="4"/>
        <v>230</v>
      </c>
      <c r="G46" s="14">
        <f t="shared" si="5"/>
        <v>230</v>
      </c>
      <c r="H46" s="14">
        <f t="shared" si="6"/>
        <v>1006</v>
      </c>
      <c r="I46" s="14">
        <f t="shared" si="7"/>
        <v>406</v>
      </c>
      <c r="J46" s="14">
        <f t="shared" si="8"/>
        <v>496</v>
      </c>
      <c r="K46" s="14">
        <f t="shared" si="9"/>
        <v>1000</v>
      </c>
      <c r="L46" s="14">
        <f t="shared" si="10"/>
        <v>406</v>
      </c>
      <c r="M46" s="14">
        <f t="shared" si="11"/>
        <v>496</v>
      </c>
    </row>
    <row r="47" spans="1:13" x14ac:dyDescent="0.3">
      <c r="A47" s="13">
        <v>290</v>
      </c>
      <c r="B47" s="17">
        <f t="shared" si="0"/>
        <v>481.75</v>
      </c>
      <c r="C47" s="14">
        <f t="shared" si="1"/>
        <v>481</v>
      </c>
      <c r="D47" s="17">
        <f t="shared" si="2"/>
        <v>194</v>
      </c>
      <c r="E47" s="14">
        <f t="shared" si="3"/>
        <v>194</v>
      </c>
      <c r="F47" s="17">
        <f t="shared" si="4"/>
        <v>237.5</v>
      </c>
      <c r="G47" s="14">
        <f t="shared" si="5"/>
        <v>237</v>
      </c>
      <c r="H47" s="14">
        <f t="shared" si="6"/>
        <v>1038</v>
      </c>
      <c r="I47" s="14">
        <f t="shared" si="7"/>
        <v>419</v>
      </c>
      <c r="J47" s="14">
        <f t="shared" si="8"/>
        <v>511</v>
      </c>
      <c r="K47" s="14">
        <f t="shared" si="9"/>
        <v>1000</v>
      </c>
      <c r="L47" s="14">
        <f t="shared" si="10"/>
        <v>419</v>
      </c>
      <c r="M47" s="14">
        <f t="shared" si="11"/>
        <v>511</v>
      </c>
    </row>
    <row r="48" spans="1:13" x14ac:dyDescent="0.3">
      <c r="A48" s="13">
        <v>300</v>
      </c>
      <c r="B48" s="17">
        <f t="shared" si="0"/>
        <v>497.5</v>
      </c>
      <c r="C48" s="14">
        <f t="shared" si="1"/>
        <v>497</v>
      </c>
      <c r="D48" s="17">
        <f t="shared" si="2"/>
        <v>200</v>
      </c>
      <c r="E48" s="14">
        <f t="shared" si="3"/>
        <v>200</v>
      </c>
      <c r="F48" s="17">
        <f t="shared" si="4"/>
        <v>245</v>
      </c>
      <c r="G48" s="14">
        <f t="shared" si="5"/>
        <v>245</v>
      </c>
      <c r="H48" s="14">
        <f t="shared" si="6"/>
        <v>1073</v>
      </c>
      <c r="I48" s="14">
        <f t="shared" si="7"/>
        <v>432</v>
      </c>
      <c r="J48" s="14">
        <f t="shared" si="8"/>
        <v>529</v>
      </c>
      <c r="K48" s="14">
        <f t="shared" si="9"/>
        <v>1000</v>
      </c>
      <c r="L48" s="14">
        <f t="shared" si="10"/>
        <v>432</v>
      </c>
      <c r="M48" s="14">
        <f t="shared" si="11"/>
        <v>529</v>
      </c>
    </row>
    <row r="50" spans="1:5" x14ac:dyDescent="0.3">
      <c r="A50" s="21" t="s">
        <v>100</v>
      </c>
    </row>
    <row r="52" spans="1:5" x14ac:dyDescent="0.3">
      <c r="A52" s="18" t="s">
        <v>75</v>
      </c>
      <c r="B52" s="18" t="s">
        <v>101</v>
      </c>
      <c r="C52" s="18" t="s">
        <v>102</v>
      </c>
      <c r="D52" s="18" t="s">
        <v>103</v>
      </c>
      <c r="E52" s="18" t="s">
        <v>104</v>
      </c>
    </row>
    <row r="53" spans="1:5" x14ac:dyDescent="0.3">
      <c r="A53" s="13" t="s">
        <v>81</v>
      </c>
      <c r="B53" s="14">
        <v>80</v>
      </c>
      <c r="C53" s="14">
        <v>68</v>
      </c>
      <c r="D53" s="14">
        <f>E26</f>
        <v>68</v>
      </c>
      <c r="E53" s="13" t="str">
        <f>IF(C53=D53,"✓","✗")</f>
        <v>✓</v>
      </c>
    </row>
    <row r="54" spans="1:5" x14ac:dyDescent="0.3">
      <c r="A54" s="13" t="s">
        <v>81</v>
      </c>
      <c r="B54" s="14">
        <v>200</v>
      </c>
      <c r="C54" s="14">
        <v>140</v>
      </c>
      <c r="D54" s="14">
        <f>E38</f>
        <v>140</v>
      </c>
      <c r="E54" s="13" t="str">
        <f>IF(C54=D54,"✓","✗")</f>
        <v>✓</v>
      </c>
    </row>
    <row r="55" spans="1:5" x14ac:dyDescent="0.3">
      <c r="A55" s="13" t="s">
        <v>83</v>
      </c>
      <c r="B55" s="14">
        <v>80</v>
      </c>
      <c r="C55" s="14">
        <v>80</v>
      </c>
      <c r="D55" s="14">
        <f>G26</f>
        <v>80</v>
      </c>
      <c r="E55" s="13" t="str">
        <f>IF(C55=D55,"✓","✗")</f>
        <v>✓</v>
      </c>
    </row>
    <row r="56" spans="1:5" x14ac:dyDescent="0.3">
      <c r="A56" s="13" t="s">
        <v>79</v>
      </c>
      <c r="B56" s="14">
        <v>80</v>
      </c>
      <c r="C56" s="14">
        <v>151</v>
      </c>
      <c r="D56" s="14">
        <f>C26</f>
        <v>151</v>
      </c>
      <c r="E56" s="13" t="str">
        <f>IF(C56=D56,"✓","✗")</f>
        <v>✓</v>
      </c>
    </row>
    <row r="57" spans="1:5" x14ac:dyDescent="0.3">
      <c r="A57" s="13" t="s">
        <v>79</v>
      </c>
      <c r="B57" s="14">
        <v>200</v>
      </c>
      <c r="C57" s="14">
        <v>340</v>
      </c>
      <c r="D57" s="14">
        <f>C38</f>
        <v>340</v>
      </c>
      <c r="E57" s="13" t="str">
        <f>IF(C57=D57,"✓","✗")</f>
        <v>✓</v>
      </c>
    </row>
    <row r="59" spans="1:5" x14ac:dyDescent="0.3">
      <c r="A59" s="21" t="s">
        <v>105</v>
      </c>
    </row>
    <row r="61" spans="1:5" x14ac:dyDescent="0.3">
      <c r="A61" s="18" t="s">
        <v>106</v>
      </c>
      <c r="B61" s="18" t="s">
        <v>107</v>
      </c>
      <c r="C61" s="18" t="s">
        <v>108</v>
      </c>
      <c r="D61" s="18" t="s">
        <v>104</v>
      </c>
    </row>
    <row r="62" spans="1:5" x14ac:dyDescent="0.3">
      <c r="A62" s="13" t="s">
        <v>109</v>
      </c>
      <c r="B62" s="11">
        <f>ROUND(373*10000/(7700+10000),0)</f>
        <v>211</v>
      </c>
      <c r="C62" s="11">
        <v>211</v>
      </c>
      <c r="D62" s="13" t="str">
        <f>IF(ROUND(B62,2)=C62,"✓","✗")</f>
        <v>✓</v>
      </c>
    </row>
    <row r="63" spans="1:5" x14ac:dyDescent="0.3">
      <c r="A63" s="13" t="s">
        <v>110</v>
      </c>
      <c r="B63" s="11">
        <f>ROUND(178*10000/(6459+10000),0)</f>
        <v>108</v>
      </c>
      <c r="C63" s="11">
        <v>108</v>
      </c>
      <c r="D63" s="13" t="str">
        <f>IF(ROUND(B63,2)=C63,"✓","✗")</f>
        <v>✓</v>
      </c>
    </row>
    <row r="64" spans="1:5" x14ac:dyDescent="0.3">
      <c r="A64" s="13" t="s">
        <v>111</v>
      </c>
      <c r="B64" s="11">
        <f>ROUND(3-500/(250+100),2)</f>
        <v>1.57</v>
      </c>
      <c r="C64" s="11">
        <v>1.57</v>
      </c>
      <c r="D64" s="13" t="str">
        <f>IF(ROUND(B64,2)=C64,"✓","✗")</f>
        <v>✓</v>
      </c>
    </row>
    <row r="65" spans="1:4" x14ac:dyDescent="0.3">
      <c r="A65" s="13" t="s">
        <v>112</v>
      </c>
      <c r="B65" s="11">
        <f>ROUND(100/(100-(-70)),2)</f>
        <v>0.59</v>
      </c>
      <c r="C65" s="11">
        <v>0.59</v>
      </c>
      <c r="D65" s="13" t="str">
        <f>IF(ROUND(B65,2)=C65,"✓","✗")</f>
        <v>✓</v>
      </c>
    </row>
    <row r="66" spans="1:4" x14ac:dyDescent="0.3">
      <c r="A66" s="13" t="s">
        <v>113</v>
      </c>
      <c r="B66" s="11">
        <f>FLOOR(ROUND(300*9500/(3500+9500),0)*181/100,1)</f>
        <v>396</v>
      </c>
      <c r="C66" s="11">
        <v>396</v>
      </c>
      <c r="D66" s="13" t="str">
        <f>IF(ROUND(B66,2)=C66,"✓","✗")</f>
        <v>✓</v>
      </c>
    </row>
  </sheetData>
  <phoneticPr fontId="13" type="noConversion"/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物理伤害</vt:lpstr>
      <vt:lpstr>谋略伤害</vt:lpstr>
      <vt:lpstr>兵力恢复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勇彬 赖</cp:lastModifiedBy>
  <dcterms:created xsi:type="dcterms:W3CDTF">2026-08-17T15:49:45Z</dcterms:created>
  <dcterms:modified xsi:type="dcterms:W3CDTF">2026-08-17T15:49:56Z</dcterms:modified>
</cp:coreProperties>
</file>